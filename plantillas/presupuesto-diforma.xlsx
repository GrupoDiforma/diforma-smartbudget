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GD-Compras y Presupuestos\Formatos\Formatos de presupuestos\"/>
    </mc:Choice>
  </mc:AlternateContent>
  <xr:revisionPtr revIDLastSave="0" documentId="13_ncr:1_{C9E832C0-BFBB-4E2D-BE92-0DEB743A9B6E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Shipping Details" sheetId="14" r:id="rId1"/>
    <sheet name="QUOT01 A-V1" sheetId="13" r:id="rId2"/>
    <sheet name="QUOT02 A-V1" sheetId="12" r:id="rId3"/>
    <sheet name="COT01 A-V1" sheetId="10" r:id="rId4"/>
    <sheet name="COT02 A-V1" sheetId="15" r:id="rId5"/>
    <sheet name="EXP 17000-A-V1" sheetId="17" r:id="rId6"/>
    <sheet name="NAL 17000-A-V1" sheetId="7" r:id="rId7"/>
    <sheet name="ADMIN" sheetId="18" r:id="rId8"/>
    <sheet name="Metales" sheetId="3" r:id="rId9"/>
    <sheet name="Alambron" sheetId="5" r:id="rId10"/>
    <sheet name="Plasticos" sheetId="4" r:id="rId11"/>
    <sheet name="Envios, Bodegages, Montajes" sheetId="9" r:id="rId12"/>
    <sheet name="Hoja1" sheetId="16" r:id="rId13"/>
  </sheets>
  <definedNames>
    <definedName name="_xlnm._FilterDatabase" localSheetId="5" hidden="1">'EXP 17000-A-V1'!$K$9:$M$44</definedName>
    <definedName name="_xlnm._FilterDatabase" localSheetId="6" hidden="1">'NAL 17000-A-V1'!$K$9:$M$44</definedName>
  </definedNames>
  <calcPr calcId="191029"/>
  <customWorkbookViews>
    <customWorkbookView name="User - Vista personalizada" guid="{5164AAE2-F559-4106-8548-6C292FF71466}" mergeInterval="0" personalView="1" maximized="1" windowWidth="1020" windowHeight="623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8" l="1"/>
  <c r="B9" i="18"/>
  <c r="H42" i="17"/>
  <c r="K11" i="7"/>
  <c r="M10" i="17" l="1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M34" i="17"/>
  <c r="L34" i="17"/>
  <c r="K34" i="17"/>
  <c r="K33" i="1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K10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M34" i="7"/>
  <c r="L34" i="7"/>
  <c r="E3" i="13"/>
  <c r="F3" i="13" s="1"/>
  <c r="E4" i="13"/>
  <c r="E5" i="13"/>
  <c r="C5" i="12"/>
  <c r="C6" i="12"/>
  <c r="C4" i="12"/>
  <c r="M39" i="17" l="1"/>
  <c r="L39" i="17"/>
  <c r="K39" i="17"/>
  <c r="M38" i="17"/>
  <c r="L38" i="17"/>
  <c r="K38" i="17"/>
  <c r="M37" i="17"/>
  <c r="M43" i="17" s="1"/>
  <c r="L37" i="17"/>
  <c r="K37" i="17"/>
  <c r="M7" i="17"/>
  <c r="L7" i="17"/>
  <c r="K7" i="17"/>
  <c r="K35" i="17" l="1"/>
  <c r="K40" i="17" s="1"/>
  <c r="L35" i="17"/>
  <c r="M35" i="17"/>
  <c r="M40" i="17" s="1"/>
  <c r="J44" i="17"/>
  <c r="M44" i="17" s="1"/>
  <c r="J47" i="17"/>
  <c r="K43" i="17"/>
  <c r="H44" i="17" s="1"/>
  <c r="L43" i="17"/>
  <c r="I47" i="17" s="1"/>
  <c r="L40" i="17"/>
  <c r="H47" i="17" l="1"/>
  <c r="I44" i="17"/>
  <c r="L44" i="17" s="1"/>
  <c r="L47" i="17" s="1"/>
  <c r="J41" i="17"/>
  <c r="M41" i="17" s="1"/>
  <c r="J46" i="17"/>
  <c r="J42" i="17"/>
  <c r="M42" i="17" s="1"/>
  <c r="I42" i="17"/>
  <c r="L42" i="17" s="1"/>
  <c r="I46" i="17"/>
  <c r="I41" i="17"/>
  <c r="L41" i="17" s="1"/>
  <c r="H46" i="17"/>
  <c r="H41" i="17"/>
  <c r="K41" i="17" s="1"/>
  <c r="K42" i="17"/>
  <c r="M47" i="17"/>
  <c r="K44" i="17"/>
  <c r="M46" i="17" l="1"/>
  <c r="L46" i="17"/>
  <c r="K46" i="17"/>
  <c r="K47" i="17"/>
  <c r="K48" i="17"/>
  <c r="L48" i="17"/>
  <c r="M48" i="17"/>
  <c r="M45" i="17"/>
  <c r="K45" i="17"/>
  <c r="L45" i="17"/>
  <c r="L51" i="17" l="1"/>
  <c r="M51" i="17"/>
  <c r="K51" i="17"/>
  <c r="K52" i="17" l="1"/>
  <c r="L52" i="17"/>
  <c r="L50" i="17"/>
  <c r="L49" i="17"/>
  <c r="L53" i="17"/>
  <c r="L54" i="17" s="1"/>
  <c r="L63" i="17" s="1"/>
  <c r="L65" i="17" s="1"/>
  <c r="M53" i="17"/>
  <c r="M54" i="17" s="1"/>
  <c r="M63" i="17" s="1"/>
  <c r="M50" i="17"/>
  <c r="M49" i="17"/>
  <c r="M52" i="17"/>
  <c r="K50" i="17"/>
  <c r="K49" i="17"/>
  <c r="K53" i="17"/>
  <c r="K54" i="17" s="1"/>
  <c r="K63" i="17" s="1"/>
  <c r="K65" i="17" s="1"/>
  <c r="M37" i="7"/>
  <c r="M43" i="7" s="1"/>
  <c r="M38" i="7"/>
  <c r="L37" i="7"/>
  <c r="L38" i="7"/>
  <c r="K37" i="7"/>
  <c r="K43" i="7" s="1"/>
  <c r="K38" i="7"/>
  <c r="L64" i="17" l="1"/>
  <c r="L66" i="17"/>
  <c r="M66" i="17"/>
  <c r="M64" i="17"/>
  <c r="M65" i="17"/>
  <c r="K66" i="17"/>
  <c r="K64" i="17"/>
  <c r="B25" i="12"/>
  <c r="A22" i="12"/>
  <c r="A23" i="13"/>
  <c r="G12" i="15"/>
  <c r="G11" i="15"/>
  <c r="E5" i="12"/>
  <c r="E6" i="12"/>
  <c r="B26" i="12"/>
  <c r="B27" i="12"/>
  <c r="D26" i="13" l="1"/>
  <c r="D27" i="13"/>
  <c r="B22" i="13"/>
  <c r="F20" i="13"/>
  <c r="D25" i="13"/>
  <c r="B21" i="12"/>
  <c r="E18" i="12"/>
  <c r="G7" i="15" l="1"/>
  <c r="G6" i="15"/>
  <c r="G5" i="15"/>
  <c r="G4" i="15"/>
  <c r="H16" i="4"/>
  <c r="J16" i="4" s="1"/>
  <c r="C16" i="4"/>
  <c r="A11" i="5"/>
  <c r="F9" i="10"/>
  <c r="F11" i="10" s="1"/>
  <c r="F10" i="10"/>
  <c r="F5" i="13"/>
  <c r="F4" i="13"/>
  <c r="E4" i="12"/>
  <c r="F6" i="13" l="1"/>
  <c r="I6" i="13" s="1"/>
  <c r="E7" i="12"/>
  <c r="G8" i="15"/>
  <c r="I16" i="4"/>
  <c r="G5" i="9"/>
  <c r="H5" i="9" s="1"/>
  <c r="G6" i="9"/>
  <c r="H6" i="9" s="1"/>
  <c r="G7" i="9"/>
  <c r="H7" i="9" s="1"/>
  <c r="G3" i="9"/>
  <c r="H3" i="9" s="1"/>
  <c r="G4" i="9"/>
  <c r="H4" i="9" s="1"/>
  <c r="G8" i="9"/>
  <c r="H8" i="9" s="1"/>
  <c r="G2" i="9"/>
  <c r="H2" i="9" s="1"/>
  <c r="H7" i="12" l="1"/>
  <c r="F6" i="12"/>
  <c r="F5" i="12"/>
  <c r="F4" i="12"/>
  <c r="F15" i="13"/>
  <c r="E16" i="12"/>
  <c r="C28" i="12" s="1"/>
  <c r="E28" i="12" s="1"/>
  <c r="G13" i="15"/>
  <c r="G15" i="15" s="1"/>
  <c r="H9" i="9"/>
  <c r="H10" i="9" s="1"/>
  <c r="H11" i="9" s="1"/>
  <c r="H12" i="9" s="1"/>
  <c r="F17" i="13" l="1"/>
  <c r="F18" i="13"/>
  <c r="F16" i="13"/>
  <c r="E28" i="13"/>
  <c r="F28" i="13" s="1"/>
  <c r="C22" i="13" s="1"/>
  <c r="G20" i="13"/>
  <c r="G7" i="13"/>
  <c r="G8" i="13"/>
  <c r="G9" i="13"/>
  <c r="G10" i="13"/>
  <c r="G11" i="13"/>
  <c r="G12" i="13"/>
  <c r="G13" i="13"/>
  <c r="G14" i="13"/>
  <c r="G4" i="13"/>
  <c r="G3" i="13"/>
  <c r="G5" i="13"/>
  <c r="G6" i="13"/>
  <c r="C21" i="12"/>
  <c r="F7" i="12"/>
  <c r="F11" i="12"/>
  <c r="F15" i="12"/>
  <c r="F8" i="12"/>
  <c r="F12" i="12"/>
  <c r="F9" i="12"/>
  <c r="F13" i="12"/>
  <c r="F10" i="12"/>
  <c r="F14" i="12"/>
  <c r="F18" i="12"/>
  <c r="F4" i="10"/>
  <c r="F5" i="10"/>
  <c r="F3" i="10"/>
  <c r="C26" i="12" l="1"/>
  <c r="E26" i="12" s="1"/>
  <c r="F26" i="12" s="1"/>
  <c r="C27" i="12"/>
  <c r="E27" i="12" s="1"/>
  <c r="F27" i="12" s="1"/>
  <c r="C25" i="12"/>
  <c r="E25" i="12" s="1"/>
  <c r="F25" i="12" s="1"/>
  <c r="E25" i="13"/>
  <c r="F25" i="13" s="1"/>
  <c r="G25" i="13" s="1"/>
  <c r="E27" i="13"/>
  <c r="F27" i="13" s="1"/>
  <c r="G27" i="13" s="1"/>
  <c r="E26" i="13"/>
  <c r="F26" i="13" s="1"/>
  <c r="G26" i="13" s="1"/>
  <c r="G15" i="13"/>
  <c r="F16" i="12"/>
  <c r="F6" i="10"/>
  <c r="E57" i="3"/>
  <c r="E56" i="3"/>
  <c r="F29" i="13" l="1"/>
  <c r="F13" i="10"/>
  <c r="AG38" i="3"/>
  <c r="AG39" i="3"/>
  <c r="AG40" i="3"/>
  <c r="E55" i="4"/>
  <c r="I55" i="4" s="1"/>
  <c r="C55" i="4"/>
  <c r="E50" i="4"/>
  <c r="I50" i="4" s="1"/>
  <c r="P52" i="3"/>
  <c r="P51" i="3"/>
  <c r="C50" i="4"/>
  <c r="C45" i="4"/>
  <c r="H45" i="4" s="1"/>
  <c r="I45" i="4" s="1"/>
  <c r="C40" i="4"/>
  <c r="J40" i="4" s="1"/>
  <c r="C35" i="4"/>
  <c r="H35" i="4" s="1"/>
  <c r="I35" i="4" s="1"/>
  <c r="C30" i="4"/>
  <c r="J30" i="4" s="1"/>
  <c r="C25" i="4"/>
  <c r="H25" i="4" s="1"/>
  <c r="I25" i="4" s="1"/>
  <c r="C20" i="4"/>
  <c r="J20" i="4" s="1"/>
  <c r="C11" i="4"/>
  <c r="H11" i="4" s="1"/>
  <c r="I11" i="4" s="1"/>
  <c r="C6" i="4"/>
  <c r="J6" i="4" s="1"/>
  <c r="M39" i="7"/>
  <c r="L39" i="7"/>
  <c r="L43" i="7" s="1"/>
  <c r="K39" i="7"/>
  <c r="M7" i="7"/>
  <c r="L7" i="7"/>
  <c r="L35" i="7" s="1"/>
  <c r="K7" i="7"/>
  <c r="H47" i="7" s="1"/>
  <c r="H58" i="3"/>
  <c r="H57" i="3"/>
  <c r="H56" i="3"/>
  <c r="O53" i="3"/>
  <c r="G53" i="3"/>
  <c r="H52" i="3"/>
  <c r="H51" i="3"/>
  <c r="P50" i="3"/>
  <c r="H50" i="3"/>
  <c r="H49" i="3"/>
  <c r="P49" i="3"/>
  <c r="P48" i="3"/>
  <c r="P47" i="3"/>
  <c r="AF46" i="3"/>
  <c r="AG46" i="3" s="1"/>
  <c r="P46" i="3"/>
  <c r="G46" i="3"/>
  <c r="AF45" i="3"/>
  <c r="G56" i="3" s="1"/>
  <c r="P45" i="3"/>
  <c r="H45" i="3"/>
  <c r="H44" i="3"/>
  <c r="H43" i="3"/>
  <c r="AG42" i="3"/>
  <c r="H42" i="3"/>
  <c r="O40" i="3"/>
  <c r="O41" i="3"/>
  <c r="M41" i="3"/>
  <c r="P41" i="3" s="1"/>
  <c r="H41" i="3"/>
  <c r="O39" i="3"/>
  <c r="M40" i="3"/>
  <c r="P40" i="3" s="1"/>
  <c r="H40" i="3"/>
  <c r="O38" i="3"/>
  <c r="M39" i="3"/>
  <c r="P39" i="3" s="1"/>
  <c r="H39" i="3"/>
  <c r="M38" i="3"/>
  <c r="P38" i="3" s="1"/>
  <c r="M37" i="3"/>
  <c r="P37" i="3" s="1"/>
  <c r="H35" i="3"/>
  <c r="G35" i="3"/>
  <c r="AG34" i="3"/>
  <c r="O34" i="3" s="1"/>
  <c r="P34" i="3"/>
  <c r="H34" i="3"/>
  <c r="G34" i="3"/>
  <c r="AG33" i="3"/>
  <c r="O33" i="3" s="1"/>
  <c r="Y33" i="3"/>
  <c r="G33" i="3" s="1"/>
  <c r="P33" i="3"/>
  <c r="H33" i="3"/>
  <c r="AG32" i="3"/>
  <c r="O32" i="3"/>
  <c r="Y32" i="3"/>
  <c r="G32" i="3" s="1"/>
  <c r="P32" i="3"/>
  <c r="H32" i="3"/>
  <c r="AG31" i="3"/>
  <c r="O31" i="3" s="1"/>
  <c r="Y31" i="3"/>
  <c r="G31" i="3" s="1"/>
  <c r="P31" i="3"/>
  <c r="H31" i="3"/>
  <c r="Y30" i="3"/>
  <c r="G30" i="3" s="1"/>
  <c r="P30" i="3"/>
  <c r="O30" i="3"/>
  <c r="H30" i="3"/>
  <c r="Y29" i="3"/>
  <c r="G29" i="3" s="1"/>
  <c r="H29" i="3"/>
  <c r="Y28" i="3"/>
  <c r="G28" i="3" s="1"/>
  <c r="H28" i="3"/>
  <c r="Y27" i="3"/>
  <c r="G27" i="3" s="1"/>
  <c r="H27" i="3"/>
  <c r="AG26" i="3"/>
  <c r="O26" i="3" s="1"/>
  <c r="G26" i="3"/>
  <c r="P26" i="3"/>
  <c r="H26" i="3"/>
  <c r="AG25" i="3"/>
  <c r="O25" i="3" s="1"/>
  <c r="G25" i="3"/>
  <c r="P25" i="3"/>
  <c r="H25" i="3"/>
  <c r="O24" i="3"/>
  <c r="G24" i="3"/>
  <c r="P24" i="3"/>
  <c r="H24" i="3"/>
  <c r="AG23" i="3"/>
  <c r="O23" i="3" s="1"/>
  <c r="G23" i="3"/>
  <c r="P23" i="3"/>
  <c r="H23" i="3"/>
  <c r="O22" i="3"/>
  <c r="G22" i="3"/>
  <c r="P22" i="3"/>
  <c r="H22" i="3"/>
  <c r="O21" i="3"/>
  <c r="P21" i="3"/>
  <c r="H18" i="3"/>
  <c r="G18" i="3"/>
  <c r="P17" i="3"/>
  <c r="O17" i="3"/>
  <c r="H17" i="3"/>
  <c r="G17" i="3"/>
  <c r="Y16" i="3"/>
  <c r="G16" i="3" s="1"/>
  <c r="P16" i="3"/>
  <c r="O16" i="3"/>
  <c r="H16" i="3"/>
  <c r="Y15" i="3"/>
  <c r="G15" i="3" s="1"/>
  <c r="P15" i="3"/>
  <c r="O15" i="3"/>
  <c r="H15" i="3"/>
  <c r="Y14" i="3"/>
  <c r="G14" i="3" s="1"/>
  <c r="H14" i="3"/>
  <c r="Y13" i="3"/>
  <c r="G13" i="3" s="1"/>
  <c r="H13" i="3"/>
  <c r="Y12" i="3"/>
  <c r="G12" i="3" s="1"/>
  <c r="H12" i="3"/>
  <c r="Y11" i="3"/>
  <c r="G11" i="3" s="1"/>
  <c r="P11" i="3"/>
  <c r="H11" i="3"/>
  <c r="AG10" i="3"/>
  <c r="O10" i="3" s="1"/>
  <c r="Y10" i="3"/>
  <c r="G10" i="3" s="1"/>
  <c r="P10" i="3"/>
  <c r="H10" i="3"/>
  <c r="AG9" i="3"/>
  <c r="O9" i="3" s="1"/>
  <c r="Y9" i="3"/>
  <c r="G9" i="3" s="1"/>
  <c r="P9" i="3"/>
  <c r="H9" i="3"/>
  <c r="AG8" i="3"/>
  <c r="O8" i="3" s="1"/>
  <c r="Y8" i="3"/>
  <c r="G8" i="3" s="1"/>
  <c r="P8" i="3"/>
  <c r="H8" i="3"/>
  <c r="G7" i="3"/>
  <c r="P7" i="3"/>
  <c r="O7" i="3"/>
  <c r="H7" i="3"/>
  <c r="AG6" i="3"/>
  <c r="O6" i="3" s="1"/>
  <c r="G6" i="3"/>
  <c r="P6" i="3"/>
  <c r="H6" i="3"/>
  <c r="E11" i="5"/>
  <c r="E8" i="5" s="1"/>
  <c r="D11" i="5"/>
  <c r="D8" i="5" s="1"/>
  <c r="C11" i="5"/>
  <c r="C8" i="5" s="1"/>
  <c r="B11" i="5"/>
  <c r="B8" i="5" s="1"/>
  <c r="A8" i="5"/>
  <c r="J8" i="5"/>
  <c r="I8" i="5"/>
  <c r="H8" i="5"/>
  <c r="G8" i="5"/>
  <c r="F8" i="5"/>
  <c r="AG41" i="3"/>
  <c r="O37" i="3"/>
  <c r="M35" i="7" l="1"/>
  <c r="M40" i="7" s="1"/>
  <c r="J47" i="7"/>
  <c r="M47" i="7" s="1"/>
  <c r="J44" i="7"/>
  <c r="M44" i="7" s="1"/>
  <c r="I44" i="7"/>
  <c r="L44" i="7" s="1"/>
  <c r="I47" i="7"/>
  <c r="K35" i="7"/>
  <c r="K40" i="7" s="1"/>
  <c r="H42" i="7" s="1"/>
  <c r="H44" i="7"/>
  <c r="K44" i="7" s="1"/>
  <c r="E22" i="13"/>
  <c r="F22" i="13" s="1"/>
  <c r="G29" i="13"/>
  <c r="J45" i="4"/>
  <c r="G57" i="3"/>
  <c r="J11" i="4"/>
  <c r="H46" i="3"/>
  <c r="P18" i="3"/>
  <c r="H20" i="4"/>
  <c r="I20" i="4" s="1"/>
  <c r="P35" i="3"/>
  <c r="P12" i="3"/>
  <c r="O12" i="3"/>
  <c r="O18" i="3"/>
  <c r="H53" i="3"/>
  <c r="H59" i="3"/>
  <c r="G59" i="3"/>
  <c r="O42" i="3"/>
  <c r="H19" i="3"/>
  <c r="P53" i="3"/>
  <c r="P27" i="3"/>
  <c r="H36" i="3"/>
  <c r="P42" i="3"/>
  <c r="AG45" i="3"/>
  <c r="O27" i="3"/>
  <c r="G36" i="3"/>
  <c r="H40" i="4"/>
  <c r="I40" i="4" s="1"/>
  <c r="K8" i="5"/>
  <c r="L8" i="5" s="1"/>
  <c r="G19" i="3"/>
  <c r="O35" i="3"/>
  <c r="J25" i="4"/>
  <c r="J35" i="4"/>
  <c r="H30" i="4"/>
  <c r="I30" i="4" s="1"/>
  <c r="H6" i="4"/>
  <c r="I6" i="4" s="1"/>
  <c r="L40" i="7"/>
  <c r="I41" i="7" l="1"/>
  <c r="L41" i="7" s="1"/>
  <c r="I42" i="7"/>
  <c r="L42" i="7" s="1"/>
  <c r="I46" i="7"/>
  <c r="K47" i="7"/>
  <c r="K42" i="7"/>
  <c r="H41" i="7"/>
  <c r="K41" i="7" s="1"/>
  <c r="H46" i="7"/>
  <c r="J41" i="7"/>
  <c r="M41" i="7" s="1"/>
  <c r="J46" i="7"/>
  <c r="J42" i="7"/>
  <c r="M42" i="7" s="1"/>
  <c r="L47" i="7"/>
  <c r="O55" i="3"/>
  <c r="O57" i="3" s="1"/>
  <c r="O59" i="3"/>
  <c r="K45" i="7" l="1"/>
  <c r="L46" i="7"/>
  <c r="M45" i="7"/>
  <c r="L48" i="7"/>
  <c r="K46" i="7"/>
  <c r="K48" i="7"/>
  <c r="M46" i="7"/>
  <c r="M48" i="7"/>
  <c r="L45" i="7"/>
  <c r="K51" i="7" l="1"/>
  <c r="L51" i="7"/>
  <c r="M51" i="7"/>
  <c r="M49" i="7" l="1"/>
  <c r="L50" i="7"/>
  <c r="K53" i="7"/>
  <c r="K54" i="7" s="1"/>
  <c r="K63" i="7" s="1"/>
  <c r="K65" i="7" s="1"/>
  <c r="K50" i="7"/>
  <c r="K49" i="7"/>
  <c r="L53" i="7"/>
  <c r="L54" i="7" s="1"/>
  <c r="L63" i="7" s="1"/>
  <c r="L64" i="7" s="1"/>
  <c r="L49" i="7"/>
  <c r="L52" i="7"/>
  <c r="M52" i="7"/>
  <c r="M50" i="7"/>
  <c r="M53" i="7"/>
  <c r="M54" i="7" s="1"/>
  <c r="M63" i="7" s="1"/>
  <c r="M66" i="7" s="1"/>
  <c r="K52" i="7"/>
  <c r="K64" i="7" l="1"/>
  <c r="K66" i="7"/>
  <c r="L65" i="7"/>
  <c r="L66" i="7"/>
  <c r="M64" i="7"/>
  <c r="M65" i="7"/>
  <c r="E29" i="12"/>
  <c r="F29" i="12" s="1"/>
  <c r="E21" i="12" l="1"/>
  <c r="F2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Edwin_Laverde</author>
  </authors>
  <commentList>
    <comment ref="A11" authorId="0" shapeId="0" xr:uid="{CC6CE4A7-9DF6-4956-BFB1-73CB82B67A53}">
      <text>
        <r>
          <rPr>
            <b/>
            <sz val="9"/>
            <color indexed="81"/>
            <rFont val="Tahoma"/>
            <family val="2"/>
          </rPr>
          <t>Edwin_Laverde:</t>
        </r>
        <r>
          <rPr>
            <sz val="9"/>
            <color indexed="81"/>
            <rFont val="Tahoma"/>
            <family val="2"/>
          </rPr>
          <t xml:space="preserve">
Se calcula sobre el valor CIF: Costo+Costos en origen+Flete en origen+Seguro+Flete internacional.</t>
        </r>
      </text>
    </comment>
    <comment ref="A12" authorId="0" shapeId="0" xr:uid="{CF0D12E6-A5D4-4C24-B4BA-73485B3783E9}">
      <text>
        <r>
          <rPr>
            <b/>
            <sz val="9"/>
            <color indexed="81"/>
            <rFont val="Tahoma"/>
            <family val="2"/>
          </rPr>
          <t>Edwin_Laverde:</t>
        </r>
        <r>
          <rPr>
            <sz val="9"/>
            <color indexed="81"/>
            <rFont val="Tahoma"/>
            <family val="2"/>
          </rPr>
          <t xml:space="preserve">
Se calcula Sobre el valor CIF+Aranceles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LAVERDE</author>
  </authors>
  <commentList>
    <comment ref="H41" authorId="0" shapeId="0" xr:uid="{027BDE77-C0C1-4C58-8D65-FC00B22E049F}">
      <text>
        <r>
          <rPr>
            <sz val="8"/>
            <color indexed="81"/>
            <rFont val="Tahoma"/>
            <family val="2"/>
          </rPr>
          <t>Entre 3 y 5%
Depende de la complejidad del proyecto</t>
        </r>
      </text>
    </comment>
    <comment ref="H42" authorId="0" shapeId="0" xr:uid="{A883E5CB-6E6E-49CE-B82E-22DE6BED01B5}">
      <text>
        <r>
          <rPr>
            <sz val="7"/>
            <color indexed="81"/>
            <rFont val="Tahoma"/>
            <family val="2"/>
          </rPr>
          <t>GUÍA DE APLICACIÓN - CIF FABRICACIÓN
(Costos Indirectos de Planta)
• Rango Estándar: 10% - 15% 
*Nota: Este % se aplica sobre el costo directo de materiales y procesos. Cubre los gastos fijos de la fábrica: arriendo de la planta, energía industrial, desgaste/mantenimiento de maquinaria y nómina de supervisión.*</t>
        </r>
      </text>
    </comment>
    <comment ref="H44" authorId="0" shapeId="0" xr:uid="{922D7297-4902-49D5-90A1-80905DB76BC1}">
      <text>
        <r>
          <rPr>
            <sz val="7"/>
            <color indexed="81"/>
            <rFont val="Tahoma"/>
            <family val="2"/>
          </rPr>
          <t xml:space="preserve">GUÍA DE APLICACIÓN - CIF COMERCIALIZACIÓN
(Handling y Bodegaje)
• Rango Estándar: 2% - 5% 
*Nota: Aplica únicamente a productos terminados de compra-venta. Cubre los costos de recepción logística, almacenamiento temporal y maniobras de despacho. No se le debe cargar el costo operativo de las máquinas.*
</t>
        </r>
      </text>
    </comment>
    <comment ref="H46" authorId="0" shapeId="0" xr:uid="{014E1BA1-4F4E-4BE9-A541-29219398612D}">
      <text>
        <r>
          <rPr>
            <sz val="7"/>
            <color indexed="81"/>
            <rFont val="Tahoma"/>
            <family val="2"/>
          </rPr>
          <t>MÁRGENES SUGERIDOS - FABRICACIÓN
(Según valor total del proyecto)
•Rango del 30% al 55% diluido en un tope maximo de $100M sobre el costo directo de fabricacion.
*Nota: Proyectos pequeños requieren mayor margen para cubrir el alto esfuerzo de diseño y set-up. En proyectos masivos, ganamos por volumen y eficiencia de planta.*</t>
        </r>
      </text>
    </comment>
    <comment ref="H47" authorId="0" shapeId="0" xr:uid="{4C1B59D3-CB8E-4018-A2C4-2DE1D7A48D97}">
      <text>
        <r>
          <rPr>
            <sz val="7"/>
            <color indexed="81"/>
            <rFont val="Tahoma"/>
            <family val="2"/>
          </rPr>
          <t>MÁRGENES SUGERIDOS - COMERCIALIZACIÓN
(Según valor total del proyecto)
• Rango del 15 al 30% diluido hasta $100 de los costos de comercializacion.
*Nota: Aplica solo a productos de compra-venta (pantallas, accesorios). El margen es menor porque no hay riesgo de producción ni desgaste de maquinaria.*</t>
        </r>
      </text>
    </comment>
    <comment ref="H49" authorId="0" shapeId="0" xr:uid="{ED319207-C740-483B-80BA-8924DB097466}">
      <text>
        <r>
          <rPr>
            <sz val="8"/>
            <color indexed="81"/>
            <rFont val="Tahoma"/>
            <family val="2"/>
          </rPr>
          <t>Descuento comerciales (negativo) o
Porcentajes adicionales de intermediacion</t>
        </r>
      </text>
    </comment>
    <comment ref="H50" authorId="0" shapeId="0" xr:uid="{8041216E-0F10-4699-886E-1357B64EAD19}">
      <text>
        <r>
          <rPr>
            <sz val="8"/>
            <color indexed="81"/>
            <rFont val="Tahoma"/>
            <family val="2"/>
          </rPr>
          <t>Comision ventas:
Socios: 3%
Asesor Nal: 5%
Rep Internal: 8%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LAVERDE</author>
  </authors>
  <commentList>
    <comment ref="H41" authorId="0" shapeId="0" xr:uid="{00000000-0006-0000-0000-000001000000}">
      <text>
        <r>
          <rPr>
            <sz val="8"/>
            <color indexed="81"/>
            <rFont val="Tahoma"/>
            <family val="2"/>
          </rPr>
          <t>Entre 3 y 5%
Depende de la complejidad del proyecto</t>
        </r>
      </text>
    </comment>
    <comment ref="H42" authorId="0" shapeId="0" xr:uid="{3A9BE2C9-CB35-4F38-A928-72A222ECCE1D}">
      <text>
        <r>
          <rPr>
            <sz val="7"/>
            <color indexed="81"/>
            <rFont val="Tahoma"/>
            <family val="2"/>
          </rPr>
          <t>GUÍA DE APLICACIÓN - CIF FABRICACIÓN
(Costos Indirectos de Planta)
• Rango Estándar: 10% - 15% 
*Nota: Este % se aplica sobre el costo directo de materiales y procesos. Cubre los gastos fijos de la fábrica: arriendo de la planta, energía industrial, desgaste/mantenimiento de maquinaria y nómina de supervisión.*</t>
        </r>
      </text>
    </comment>
    <comment ref="H44" authorId="0" shapeId="0" xr:uid="{328EB82F-0378-4AF0-B0A1-FEB8723162FD}">
      <text>
        <r>
          <rPr>
            <sz val="7"/>
            <color indexed="81"/>
            <rFont val="Tahoma"/>
            <family val="2"/>
          </rPr>
          <t xml:space="preserve">GUÍA DE APLICACIÓN - CIF COMERCIALIZACIÓN
(Handling y Bodegaje)
• Rango Estándar: 2% - 5% 
*Nota: Aplica únicamente a productos terminados de compra-venta. Cubre los costos de recepción logística, almacenamiento temporal y maniobras de despacho. No se le debe cargar el costo operativo de las máquinas.*
</t>
        </r>
      </text>
    </comment>
    <comment ref="H46" authorId="0" shapeId="0" xr:uid="{ADE47998-14C3-42C0-B90F-A5F5ED53EB3D}">
      <text>
        <r>
          <rPr>
            <sz val="7"/>
            <color indexed="81"/>
            <rFont val="Tahoma"/>
            <family val="2"/>
          </rPr>
          <t>MÁRGENES SUGERIDOS - FABRICACIÓN
(Según valor total del proyecto)
•Rango del 25% al 50% diluido en un tope maximo de $100M sobre el costo directo de fabricacion.
*Nota: Proyectos pequeños requieren mayor margen para cubrir el alto esfuerzo de diseño y set-up. En proyectos masivos, ganamos por volumen y eficiencia de planta.*</t>
        </r>
      </text>
    </comment>
    <comment ref="H47" authorId="0" shapeId="0" xr:uid="{DA3768BA-5D64-46B1-9C19-DF93DA89F360}">
      <text>
        <r>
          <rPr>
            <sz val="7"/>
            <color indexed="81"/>
            <rFont val="Tahoma"/>
            <family val="2"/>
          </rPr>
          <t>MÁRGENES SUGERIDOS - COMERCIALIZACIÓN
(Según valor total del proyecto)
• Rango del 20 al 35% diluido hasta $100 de los costos de comercializacion.
*Nota: Aplica solo a productos de compra-venta (pantallas, accesorios). El margen es menor porque no hay riesgo de producción ni desgaste de maquinaria.*</t>
        </r>
      </text>
    </comment>
    <comment ref="H49" authorId="0" shapeId="0" xr:uid="{137BAD31-A58A-4E20-B794-0328F18C0FB0}">
      <text>
        <r>
          <rPr>
            <sz val="8"/>
            <color indexed="81"/>
            <rFont val="Tahoma"/>
            <family val="2"/>
          </rPr>
          <t>Descuento comerciales (negativo) o
Porcentajes adicionales de intermediacion</t>
        </r>
      </text>
    </comment>
    <comment ref="H50" authorId="0" shapeId="0" xr:uid="{AFBF150D-60B3-4F74-9D4B-11694F20C882}">
      <text>
        <r>
          <rPr>
            <sz val="8"/>
            <color indexed="81"/>
            <rFont val="Tahoma"/>
            <family val="2"/>
          </rPr>
          <t>Comision ventas:
Socios: 3%
Asesor Nal: 5%
Rep Internal: 8%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 Ximena Santos A.</author>
  </authors>
  <commentList>
    <comment ref="O56" authorId="0" shapeId="0" xr:uid="{00000000-0006-0000-0200-000001000000}">
      <text>
        <r>
          <rPr>
            <sz val="8"/>
            <color indexed="81"/>
            <rFont val="Tahoma"/>
            <family val="2"/>
          </rPr>
          <t>de 1 a 5 millones=       2,2   
de 5 a 20 millones=     2,1
de 20 a 50 millones=   2,0
mas de 50 millones=    1,9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LAVERDE</author>
  </authors>
  <commentList>
    <comment ref="K1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EDWIN LAVERDE:</t>
        </r>
        <r>
          <rPr>
            <sz val="8"/>
            <color indexed="81"/>
            <rFont val="Tahoma"/>
            <family val="2"/>
          </rPr>
          <t xml:space="preserve">
de 1 a 5 millones=       2,2   
de 5 a 20 millones=     2,1
de 20 a 50 millones=   2,0
mas de 50 millones=    1,9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Edwin_Laverde</author>
  </authors>
  <commentList>
    <comment ref="G50" authorId="0" shapeId="0" xr:uid="{00000000-0006-0000-0400-000001000000}">
      <text>
        <r>
          <rPr>
            <sz val="9"/>
            <color indexed="81"/>
            <rFont val="Tahoma"/>
            <family val="2"/>
          </rPr>
          <t>Factor de complejidad
10-100U=     7,2
100-300U=   6,8
300-500=     6,2
500 o mas=  4,2</t>
        </r>
      </text>
    </comment>
    <comment ref="G55" authorId="0" shapeId="0" xr:uid="{00000000-0006-0000-0400-000002000000}">
      <text>
        <r>
          <rPr>
            <sz val="9"/>
            <color indexed="81"/>
            <rFont val="Tahoma"/>
            <family val="2"/>
          </rPr>
          <t xml:space="preserve">Factor de complejidad
10-100U=     7.8
100-300U=   7.2
300-500=     6.6
500 o mas=  4.5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Edwin_Laverde</author>
  </authors>
  <commentList>
    <comment ref="F2" authorId="0" shapeId="0" xr:uid="{9E00FC84-8C4C-42A8-87CD-1AD5394AB801}">
      <text>
        <r>
          <rPr>
            <b/>
            <sz val="9"/>
            <color indexed="81"/>
            <rFont val="Tahoma"/>
            <family val="2"/>
          </rPr>
          <t>1 a 5 millones:           1.30
5 a 20 millones:         1.28
20 en adelante:         1.25</t>
        </r>
      </text>
    </comment>
  </commentList>
</comments>
</file>

<file path=xl/sharedStrings.xml><?xml version="1.0" encoding="utf-8"?>
<sst xmlns="http://schemas.openxmlformats.org/spreadsheetml/2006/main" count="678" uniqueCount="269">
  <si>
    <t>REFERENCIA</t>
  </si>
  <si>
    <t>VALOR UNITARIO</t>
  </si>
  <si>
    <t>VALOR TOTAL</t>
  </si>
  <si>
    <t>Nombre del Proyecto:</t>
  </si>
  <si>
    <t>No. Proyecto</t>
  </si>
  <si>
    <t>Cliente:</t>
  </si>
  <si>
    <t>Diseñador:</t>
  </si>
  <si>
    <t>Fecha:</t>
  </si>
  <si>
    <t>OBSERVACIONES</t>
  </si>
  <si>
    <t>Ejecutiva encargada:</t>
  </si>
  <si>
    <t>Rango</t>
  </si>
  <si>
    <t>TOTAL COSTO BRUTO</t>
  </si>
  <si>
    <t>SUBTOTAL</t>
  </si>
  <si>
    <t>COTIZACION ESTRUCTURAS METALICAS</t>
  </si>
  <si>
    <t>REF</t>
  </si>
  <si>
    <t>CAL 22</t>
  </si>
  <si>
    <t>CAL 20</t>
  </si>
  <si>
    <t xml:space="preserve">CAL 18 </t>
  </si>
  <si>
    <t>CAL 16</t>
  </si>
  <si>
    <t>PINTURA</t>
  </si>
  <si>
    <t>CAL 18</t>
  </si>
  <si>
    <t>TUBERIA CUADRADA</t>
  </si>
  <si>
    <t>RECTANGULARES</t>
  </si>
  <si>
    <t>1/2"</t>
  </si>
  <si>
    <t>12X25</t>
  </si>
  <si>
    <t>5/8"</t>
  </si>
  <si>
    <t>18X32</t>
  </si>
  <si>
    <t>3/4"</t>
  </si>
  <si>
    <t>20X40</t>
  </si>
  <si>
    <t>7/8"</t>
  </si>
  <si>
    <t>25X50</t>
  </si>
  <si>
    <t>1"</t>
  </si>
  <si>
    <t>78X38</t>
  </si>
  <si>
    <t>1-1/8"</t>
  </si>
  <si>
    <t>OTROS</t>
  </si>
  <si>
    <t>1-1/4"</t>
  </si>
  <si>
    <t>TOTAL</t>
  </si>
  <si>
    <t>1-1/2"</t>
  </si>
  <si>
    <t>2"</t>
  </si>
  <si>
    <t>OVALADOS</t>
  </si>
  <si>
    <t>2.5"</t>
  </si>
  <si>
    <t>14X28</t>
  </si>
  <si>
    <t>3"</t>
  </si>
  <si>
    <t>25X48</t>
  </si>
  <si>
    <t>31X61</t>
  </si>
  <si>
    <t>1/8"</t>
  </si>
  <si>
    <t>3/16"</t>
  </si>
  <si>
    <t>1/4"</t>
  </si>
  <si>
    <t>PLATINAS</t>
  </si>
  <si>
    <t>TUBERIA REDONDA</t>
  </si>
  <si>
    <t>ANGULOS</t>
  </si>
  <si>
    <t>LAMINA CR</t>
  </si>
  <si>
    <t>MEDIDA</t>
  </si>
  <si>
    <t>CAL</t>
  </si>
  <si>
    <t>VALOR</t>
  </si>
  <si>
    <t>$</t>
  </si>
  <si>
    <t>CANT.</t>
  </si>
  <si>
    <t>AALAMBRON</t>
  </si>
  <si>
    <t>No.</t>
  </si>
  <si>
    <t>PINTADO</t>
  </si>
  <si>
    <t>LAMINAS CR</t>
  </si>
  <si>
    <t>$ UNITARIO</t>
  </si>
  <si>
    <t>3 mm</t>
  </si>
  <si>
    <t>4 mm</t>
  </si>
  <si>
    <t>5 mm</t>
  </si>
  <si>
    <t>6 mm</t>
  </si>
  <si>
    <t>8 mm</t>
  </si>
  <si>
    <t>3/8"</t>
  </si>
  <si>
    <t xml:space="preserve">OTROS </t>
  </si>
  <si>
    <t>PERFILES</t>
  </si>
  <si>
    <t>LAMINAS HR</t>
  </si>
  <si>
    <t>VALOR UNIT</t>
  </si>
  <si>
    <t>PERFIL "U"</t>
  </si>
  <si>
    <t>PERFIL "L"</t>
  </si>
  <si>
    <t>LAMINA HR</t>
  </si>
  <si>
    <t>ESTRUCTURA</t>
  </si>
  <si>
    <t>PRECIO</t>
  </si>
  <si>
    <t>FACTOR</t>
  </si>
  <si>
    <t>PERFIL "u"</t>
  </si>
  <si>
    <t>Area</t>
  </si>
  <si>
    <t xml:space="preserve">Ancho </t>
  </si>
  <si>
    <t>Factor</t>
  </si>
  <si>
    <t>Calibre</t>
  </si>
  <si>
    <t>Precio x Kilo</t>
  </si>
  <si>
    <t>Precio pieza</t>
  </si>
  <si>
    <t>Largo</t>
  </si>
  <si>
    <t>Polipropileno</t>
  </si>
  <si>
    <t>Peso pieza (Kls.)</t>
  </si>
  <si>
    <t>Peso Total (Kls.)</t>
  </si>
  <si>
    <t>No. Piezas</t>
  </si>
  <si>
    <t>COTIZACION ALAMBRON</t>
  </si>
  <si>
    <t xml:space="preserve"> 3MM</t>
  </si>
  <si>
    <t xml:space="preserve"> 4MM</t>
  </si>
  <si>
    <t xml:space="preserve"> 5MM</t>
  </si>
  <si>
    <t xml:space="preserve"> 6MM</t>
  </si>
  <si>
    <t xml:space="preserve"> 8MM</t>
  </si>
  <si>
    <t>LAMINA</t>
  </si>
  <si>
    <t>DOBLES</t>
  </si>
  <si>
    <t>SOLDADURA</t>
  </si>
  <si>
    <t>OTRO S</t>
  </si>
  <si>
    <t>COSTO TOTAL</t>
  </si>
  <si>
    <t>PRECIO VENTA</t>
  </si>
  <si>
    <t>PRECIO KILO</t>
  </si>
  <si>
    <t>SEGURO USD</t>
  </si>
  <si>
    <t>PINTURA (M2)</t>
  </si>
  <si>
    <t>PINTURA POLIESTER (M2)</t>
  </si>
  <si>
    <t>PRECIO TOTAL EXWORKS EN USD</t>
  </si>
  <si>
    <t>TERMINO INCOTERM:</t>
  </si>
  <si>
    <t>GASTOS EN ORIGEN USD</t>
  </si>
  <si>
    <t>GASTOS EN DESTINO USD</t>
  </si>
  <si>
    <t>MANO OBRA</t>
  </si>
  <si>
    <t>PoliestirenoCristal + Resina K</t>
  </si>
  <si>
    <t>LAMINA HR
100x200cm</t>
  </si>
  <si>
    <t>2-1/2"</t>
  </si>
  <si>
    <t>LAMINA HR
120x240cm</t>
  </si>
  <si>
    <t>LAMINA CR
120X240 CM</t>
  </si>
  <si>
    <t>LAMINA CR
100X200</t>
  </si>
  <si>
    <t>PROCESOS</t>
  </si>
  <si>
    <t>DOBLEZ</t>
  </si>
  <si>
    <t>CURVADO</t>
  </si>
  <si>
    <t>PRECIO UNIT</t>
  </si>
  <si>
    <t>PRECIO KILO DE HIERRO</t>
  </si>
  <si>
    <t>MODALIDAD FLETE EN USD</t>
  </si>
  <si>
    <t>MARITIMO</t>
  </si>
  <si>
    <t>PRECIO TOTAL EN PESOS</t>
  </si>
  <si>
    <t>PET +$500 colores+$1500 plata y dorado+$2000 rojo</t>
  </si>
  <si>
    <t>ENDEREZADO</t>
  </si>
  <si>
    <t>Armado general</t>
  </si>
  <si>
    <t>PVC (Vipack=10.800 Kg / Vacoplast=9.700 Kg)</t>
  </si>
  <si>
    <t>Descripcion</t>
  </si>
  <si>
    <t>Cantidad</t>
  </si>
  <si>
    <t>Poliestireno Colores + $900 exteriores + $500 fda alimentos / Reproceso x Kg.=$2.000 / 65% Original=-15%</t>
  </si>
  <si>
    <t>POLIETILENO VIRGEN:$8.000 / RECUPERADO:$5500</t>
  </si>
  <si>
    <t xml:space="preserve">Poliestireno Blanco, negro, coextruidos + $900 exteriores + $500 fda alimentos / Reproceso x Kg.=$2.000 </t>
  </si>
  <si>
    <t>Medidas en Mts</t>
  </si>
  <si>
    <t>Densidad
Material</t>
  </si>
  <si>
    <t>EX-WORKS</t>
  </si>
  <si>
    <t>Para aplicar valor de comercializacion:</t>
  </si>
  <si>
    <t>Analista de Costos:</t>
  </si>
  <si>
    <t>Aereo-Terrestre</t>
  </si>
  <si>
    <t xml:space="preserve">Para aplicar valor de comercializacion: </t>
  </si>
  <si>
    <t>CORTE</t>
  </si>
  <si>
    <t>PAGO A 30 DIAS:</t>
  </si>
  <si>
    <t>PAGO A 60 DIAS:</t>
  </si>
  <si>
    <t>PAGO AL DIA O CON ANTICIPO:</t>
  </si>
  <si>
    <t>COSTO CONSOLIDADO DE EXPORTACION USD</t>
  </si>
  <si>
    <t>ARANCEL</t>
  </si>
  <si>
    <t>IMPUESTO DE VENTAS</t>
  </si>
  <si>
    <t>NOTA:</t>
  </si>
  <si>
    <t>Factor de Complejidad</t>
  </si>
  <si>
    <t>SERVICIO DE TERMOFORMADO POLIESTIRENO</t>
  </si>
  <si>
    <t>SERVICIO DE TERMOFORMADO POLIPROPILENO</t>
  </si>
  <si>
    <t>Valores
adicionales</t>
  </si>
  <si>
    <t xml:space="preserve">* El precio puede subir entre 200 a 400 pesos cuando la pieza termoformada lleva cortes especiales en ruteadora  </t>
  </si>
  <si>
    <t>http://www.enviacolvanes.com.co/</t>
  </si>
  <si>
    <t>PRECIO DE VENTA UNITARIO EN PESOS</t>
  </si>
  <si>
    <t>http://www.tcc.com.co/</t>
  </si>
  <si>
    <t>Calibre
en mm</t>
  </si>
  <si>
    <t>https://www.interrapidisimo.com/cotiza-tu-envio/</t>
  </si>
  <si>
    <t>Descripcion del producto y/o servicio</t>
  </si>
  <si>
    <t>TRM</t>
  </si>
  <si>
    <t>Costo unitario (Cop)</t>
  </si>
  <si>
    <t>Subtotal venta Unitario (Cop/Usd)</t>
  </si>
  <si>
    <t>Subtotal venta total (Cop/Usd)</t>
  </si>
  <si>
    <t xml:space="preserve">TOTAL VENTA (Cop o Usd) </t>
  </si>
  <si>
    <t>PAGO A 30 DIAS</t>
  </si>
  <si>
    <t>PAGO A 60 DIAS</t>
  </si>
  <si>
    <t>OBSERVACIONES:</t>
  </si>
  <si>
    <t>Si el precio de venta es en Cop el TRM es uno (1)</t>
  </si>
  <si>
    <t>Poliestireno Black Out</t>
  </si>
  <si>
    <t>BOGOTA</t>
  </si>
  <si>
    <t>15931-B</t>
  </si>
  <si>
    <t>TOPE DE TOPE ENCANTO – TOY SMART
Estructura Metálica + Pintura al horno + Lámina de Cartón + Vinilo adhesivo + impresión digital + Niveladores.</t>
  </si>
  <si>
    <t>IMAGEN</t>
  </si>
  <si>
    <t>IMAGE</t>
  </si>
  <si>
    <t>Description</t>
  </si>
  <si>
    <t>Quantity</t>
  </si>
  <si>
    <t>SEA</t>
  </si>
  <si>
    <t>AIR / LAND</t>
  </si>
  <si>
    <t>TAXES</t>
  </si>
  <si>
    <t>DUTY</t>
  </si>
  <si>
    <t>INSURANCE</t>
  </si>
  <si>
    <t>COSTS AT DESTINATION</t>
  </si>
  <si>
    <t>COSTS AT ORIGIN</t>
  </si>
  <si>
    <t>SHIPPING DETAILS</t>
  </si>
  <si>
    <t xml:space="preserve">INCOTERM: </t>
  </si>
  <si>
    <t>CONSOLIDATED EXPORT COST</t>
  </si>
  <si>
    <t>PAYMENT IN 30 DAYS:</t>
  </si>
  <si>
    <t>PAYMENT IN 60 DAYS:</t>
  </si>
  <si>
    <t>PAY UP TO DATE / PAY IN ADVANCE:</t>
  </si>
  <si>
    <t>Unit Price</t>
  </si>
  <si>
    <t>Extended Price</t>
  </si>
  <si>
    <t>CIF + DESTINATION PRICE (USD)</t>
  </si>
  <si>
    <t>TOTAL EXWORKS PRICE (USD)</t>
  </si>
  <si>
    <t>Precio unitario</t>
  </si>
  <si>
    <t>Sub Total</t>
  </si>
  <si>
    <t>SHIPPING 
MODE</t>
  </si>
  <si>
    <t>15943-A</t>
  </si>
  <si>
    <t>TITULO SI APLICA</t>
  </si>
  <si>
    <t>HEADER IF APPLICABLE</t>
  </si>
  <si>
    <r>
      <rPr>
        <b/>
        <sz val="10"/>
        <rFont val="Arial"/>
        <family val="2"/>
      </rPr>
      <t xml:space="preserve">20 FOOT CONTAINER CAPACITY
</t>
    </r>
    <r>
      <rPr>
        <sz val="10"/>
        <rFont val="Arial"/>
        <family val="2"/>
      </rPr>
      <t>9 PALLET FOR 2 MODULES - 120x105x215cm
TOTAL: 18 MODULES</t>
    </r>
  </si>
  <si>
    <r>
      <rPr>
        <b/>
        <sz val="10"/>
        <rFont val="Arial"/>
        <family val="2"/>
      </rPr>
      <t xml:space="preserve">40 FOOT CONTAINER CAPACITY
</t>
    </r>
    <r>
      <rPr>
        <sz val="10"/>
        <rFont val="Arial"/>
        <family val="2"/>
      </rPr>
      <t>21 PALLET FOR 2 MODULES - 120x105x215cm
TOTAL: 42 MODULES</t>
    </r>
  </si>
  <si>
    <t>https://www.mudango.com/</t>
  </si>
  <si>
    <t>Cartonplast / Coroplast / Polipropileno alveolar</t>
  </si>
  <si>
    <t>Espesor mm</t>
  </si>
  <si>
    <t>Gramaje/M2</t>
  </si>
  <si>
    <r>
      <rPr>
        <b/>
        <sz val="10"/>
        <rFont val="Arial"/>
        <family val="2"/>
      </rPr>
      <t>DECORACION MESA TENDENCIA</t>
    </r>
    <r>
      <rPr>
        <sz val="10"/>
        <rFont val="Arial"/>
        <family val="2"/>
      </rPr>
      <t xml:space="preserve">
Lámina de Cartón + Vinilo adhesivo + impresión digital</t>
    </r>
  </si>
  <si>
    <t>VIGENCIA FEB DE 2023</t>
  </si>
  <si>
    <t>VIGENCIA FEB 2023</t>
  </si>
  <si>
    <t xml:space="preserve">PROYECTOS DE GRUPO OHLA / NESTLE TENDRAN UN INCREMENTO DEL 5% FEE  INTERNO +3% FEE BANCARIO = 8% FEE TOTAL. </t>
  </si>
  <si>
    <t>17000-A</t>
  </si>
  <si>
    <t>TOTAL SHIPPING COST (USD)</t>
  </si>
  <si>
    <t>Prorrating</t>
  </si>
  <si>
    <t>DIFERENCIA DE VALIDACION</t>
  </si>
  <si>
    <t>BEST SHIPPING COST:</t>
  </si>
  <si>
    <t>TOTAL DDP PRICE (USD)</t>
  </si>
  <si>
    <t>MEDELLIN</t>
  </si>
  <si>
    <t>Envios +  Instalacion</t>
  </si>
  <si>
    <t>Imagen</t>
  </si>
  <si>
    <t>Codigo de proyecto</t>
  </si>
  <si>
    <t>Precio sub total</t>
  </si>
  <si>
    <t>Envios +  Instalaciones</t>
  </si>
  <si>
    <t>Project image</t>
  </si>
  <si>
    <t>Project Code</t>
  </si>
  <si>
    <t>I</t>
  </si>
  <si>
    <t>Note: Applicable taxes are not included in this quotation and will be reflected on the final invoice based on the delivery address.</t>
  </si>
  <si>
    <t>VIGENCIA -FEB 2026</t>
  </si>
  <si>
    <t>Productos de comercializacion</t>
  </si>
  <si>
    <t>Material de empaque</t>
  </si>
  <si>
    <t>SUBTOTAL COSTOS DE COMERCIALIZACION</t>
  </si>
  <si>
    <t>TOTAL VENTA BRUTO</t>
  </si>
  <si>
    <t>Imprevistos</t>
  </si>
  <si>
    <t>Costos Indirectos</t>
  </si>
  <si>
    <t>Utilidad Fabricacion</t>
  </si>
  <si>
    <t>Utilidad Comercializacion</t>
  </si>
  <si>
    <t>Decuentos / Incrementos</t>
  </si>
  <si>
    <t>Comision de ventas</t>
  </si>
  <si>
    <t>Materiales mano de obra y procesos de fabricacion</t>
  </si>
  <si>
    <t>PRESUPUESTO GENERAL</t>
  </si>
  <si>
    <t>% Comision</t>
  </si>
  <si>
    <t>BACK-OFFICE COMERCIAL</t>
  </si>
  <si>
    <t>Pecio Base</t>
  </si>
  <si>
    <t>Total Comision</t>
  </si>
  <si>
    <t>FREIGHT SHIPPING MODE</t>
  </si>
  <si>
    <t>GRAN TOTAL SIN IVA (COP)</t>
  </si>
  <si>
    <t>15970 A - PORTAPRECIO EN ACRILICO</t>
  </si>
  <si>
    <t>PRECIO TOTAL SIN IVA (COP)</t>
  </si>
  <si>
    <t>PRECIO TOTAL SIN IVA  (COP)</t>
  </si>
  <si>
    <t>Tranporte local de entrega: Bogota y perimetro urbano (Valor Global)</t>
  </si>
  <si>
    <t>PRESUPUESTO EXPORTACION - Version Sep 2026</t>
  </si>
  <si>
    <t>PRESUPUESTO NACIONAL - Version Sep 2026</t>
  </si>
  <si>
    <t>TOTAL COSTOS DIRECTOS DE FABRICACION</t>
  </si>
  <si>
    <t>CANT</t>
  </si>
  <si>
    <t>PRECIO UNITARIO EN USD</t>
  </si>
  <si>
    <t>Variables</t>
  </si>
  <si>
    <t>Costos indirectos fabricacion</t>
  </si>
  <si>
    <t>Costos indirectos comercializacion</t>
  </si>
  <si>
    <t>Tope maximo dilusion  $</t>
  </si>
  <si>
    <t>Tope minimo %</t>
  </si>
  <si>
    <t>Tope maximo %</t>
  </si>
  <si>
    <t>Imprevistos fabricacion</t>
  </si>
  <si>
    <t>Utilidad fabricacion nacional</t>
  </si>
  <si>
    <t>Utilidad fabricacion internacional</t>
  </si>
  <si>
    <t>Utilidad comercializacion nacional</t>
  </si>
  <si>
    <t>Utilidad comercializacion internacional</t>
  </si>
  <si>
    <t>Meta Venta nacional</t>
  </si>
  <si>
    <t>Meta Venta internacional</t>
  </si>
  <si>
    <t>Tope venta Max Dto</t>
  </si>
  <si>
    <t>Com prmedio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</si>
</sst>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  <numFmt numFmtId="165" formatCode="_-&quot;$&quot;* #,##0_-;\-&quot;$&quot;* #,##0_-;_-&quot;$&quot;* &quot;-&quot;_-;_-@_-"/>
    <numFmt numFmtId="166" formatCode="_ &quot;$&quot;\ * #,##0.00_ ;_ &quot;$&quot;\ * \-#,##0.00_ ;_ &quot;$&quot;\ * &quot;-&quot;??_ ;_ @_ "/>
    <numFmt numFmtId="167" formatCode="_ * #,##0.00_ ;_ * \-#,##0.00_ ;_ * &quot;-&quot;??_ ;_ @_ "/>
    <numFmt numFmtId="168" formatCode="d\-mmm\-yyyy"/>
    <numFmt numFmtId="169" formatCode="_ &quot;$&quot;\ * #,##0_ ;_ &quot;$&quot;\ * \-#,##0_ ;_ &quot;$&quot;\ * &quot;-&quot;??_ ;_ @_ "/>
    <numFmt numFmtId="170" formatCode="&quot;$&quot;\ #"/>
    <numFmt numFmtId="171" formatCode="_ &quot;$&quot;\ * #.;_ &quot;$&quot;\ * \-#.;_ &quot;$&quot;\ * &quot;-&quot;??_ ;_ @_ⴆ"/>
    <numFmt numFmtId="172" formatCode="_ [$€]\ * #,##0.00_ ;_ [$€]\ * \-#,##0.00_ ;_ [$€]\ * &quot;-&quot;??_ ;_ @_ "/>
    <numFmt numFmtId="173" formatCode="0.0%"/>
    <numFmt numFmtId="174" formatCode="0.000"/>
    <numFmt numFmtId="175" formatCode="_-&quot;$&quot;* #,##0.00_-;\-&quot;$&quot;* #,##0.00_-;_-&quot;$&quot;* &quot;-&quot;_-;_-@_-"/>
  </numFmts>
  <fonts count="39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7"/>
      <color indexed="10"/>
      <name val="Arial"/>
      <family val="2"/>
    </font>
    <font>
      <sz val="8"/>
      <color indexed="10"/>
      <name val="Arial"/>
      <family val="2"/>
    </font>
    <font>
      <sz val="8"/>
      <color indexed="12"/>
      <name val="Arial"/>
      <family val="2"/>
    </font>
    <font>
      <sz val="7"/>
      <color indexed="12"/>
      <name val="Arial"/>
      <family val="2"/>
    </font>
    <font>
      <sz val="6"/>
      <color indexed="10"/>
      <name val="Arial"/>
      <family val="2"/>
    </font>
    <font>
      <sz val="9"/>
      <name val="Arial"/>
      <family val="2"/>
    </font>
    <font>
      <b/>
      <sz val="10"/>
      <color indexed="9"/>
      <name val="Arial"/>
      <family val="2"/>
    </font>
    <font>
      <sz val="10"/>
      <color indexed="22"/>
      <name val="Arial"/>
      <family val="2"/>
    </font>
    <font>
      <sz val="6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20"/>
      <name val="Arial"/>
      <family val="2"/>
    </font>
    <font>
      <sz val="8"/>
      <color indexed="20"/>
      <name val="Arial"/>
      <family val="2"/>
    </font>
    <font>
      <b/>
      <sz val="10"/>
      <color indexed="20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sz val="7"/>
      <color rgb="FFFF000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  <font>
      <sz val="7"/>
      <color indexed="81"/>
      <name val="Tahoma"/>
      <family val="2"/>
    </font>
    <font>
      <b/>
      <sz val="11"/>
      <name val="Calibri"/>
      <family val="2"/>
    </font>
    <font>
      <sz val="7"/>
      <color rgb="FF80008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rgb="FF44546A"/>
      </patternFill>
    </fill>
    <fill>
      <patternFill patternType="solid">
        <fgColor rgb="FFFFFF00"/>
        <bgColor rgb="FFFFF2CC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7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5" fontId="3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398">
    <xf numFmtId="0" fontId="0" fillId="0" borderId="0" xfId="0"/>
    <xf numFmtId="166" fontId="0" fillId="0" borderId="0" xfId="3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8" fontId="6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70" fontId="6" fillId="0" borderId="0" xfId="0" applyNumberFormat="1" applyFont="1" applyAlignment="1">
      <alignment horizontal="center" vertical="center"/>
    </xf>
    <xf numFmtId="0" fontId="0" fillId="0" borderId="2" xfId="0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8" fillId="0" borderId="3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2" borderId="6" xfId="0" applyFill="1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6" fillId="0" borderId="1" xfId="0" applyFont="1" applyBorder="1" applyAlignment="1">
      <alignment horizontal="center"/>
    </xf>
    <xf numFmtId="0" fontId="0" fillId="0" borderId="7" xfId="0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vertical="center"/>
    </xf>
    <xf numFmtId="0" fontId="16" fillId="0" borderId="1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170" fontId="6" fillId="2" borderId="1" xfId="0" applyNumberFormat="1" applyFont="1" applyFill="1" applyBorder="1" applyAlignment="1">
      <alignment horizontal="center" vertical="center"/>
    </xf>
    <xf numFmtId="170" fontId="6" fillId="2" borderId="7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7" xfId="0" applyFill="1" applyBorder="1"/>
    <xf numFmtId="0" fontId="8" fillId="0" borderId="1" xfId="0" applyFont="1" applyBorder="1" applyAlignment="1" applyProtection="1">
      <alignment horizontal="center"/>
      <protection locked="0"/>
    </xf>
    <xf numFmtId="2" fontId="18" fillId="0" borderId="6" xfId="0" applyNumberFormat="1" applyFont="1" applyBorder="1"/>
    <xf numFmtId="0" fontId="18" fillId="0" borderId="6" xfId="0" applyFont="1" applyBorder="1"/>
    <xf numFmtId="0" fontId="0" fillId="0" borderId="11" xfId="0" applyBorder="1"/>
    <xf numFmtId="0" fontId="18" fillId="0" borderId="11" xfId="0" applyFont="1" applyBorder="1"/>
    <xf numFmtId="2" fontId="18" fillId="0" borderId="11" xfId="0" applyNumberFormat="1" applyFont="1" applyBorder="1"/>
    <xf numFmtId="0" fontId="8" fillId="0" borderId="0" xfId="0" applyFont="1" applyAlignment="1">
      <alignment horizontal="center" vertical="center"/>
    </xf>
    <xf numFmtId="0" fontId="6" fillId="0" borderId="1" xfId="0" quotePrefix="1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8" fillId="0" borderId="0" xfId="0" applyFont="1"/>
    <xf numFmtId="2" fontId="18" fillId="0" borderId="0" xfId="0" applyNumberFormat="1" applyFont="1"/>
    <xf numFmtId="0" fontId="6" fillId="3" borderId="12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" fontId="8" fillId="3" borderId="1" xfId="0" applyNumberFormat="1" applyFont="1" applyFill="1" applyBorder="1" applyAlignment="1" applyProtection="1">
      <alignment horizontal="center" vertical="center"/>
      <protection locked="0"/>
    </xf>
    <xf numFmtId="170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vertical="center" textRotation="90"/>
    </xf>
    <xf numFmtId="0" fontId="0" fillId="3" borderId="1" xfId="0" applyFill="1" applyBorder="1"/>
    <xf numFmtId="0" fontId="0" fillId="3" borderId="0" xfId="0" applyFill="1"/>
    <xf numFmtId="0" fontId="6" fillId="3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 vertical="center"/>
    </xf>
    <xf numFmtId="0" fontId="0" fillId="4" borderId="0" xfId="0" applyFill="1"/>
    <xf numFmtId="0" fontId="8" fillId="0" borderId="1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/>
      <protection locked="0"/>
    </xf>
    <xf numFmtId="0" fontId="11" fillId="0" borderId="0" xfId="0" applyFont="1" applyAlignment="1">
      <alignment vertical="center" textRotation="90"/>
    </xf>
    <xf numFmtId="0" fontId="3" fillId="3" borderId="1" xfId="0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center"/>
    </xf>
    <xf numFmtId="0" fontId="6" fillId="3" borderId="1" xfId="0" applyFont="1" applyFill="1" applyBorder="1"/>
    <xf numFmtId="0" fontId="8" fillId="0" borderId="0" xfId="0" applyFont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0" borderId="0" xfId="0" applyFont="1" applyAlignment="1" applyProtection="1">
      <alignment vertical="center"/>
      <protection locked="0"/>
    </xf>
    <xf numFmtId="171" fontId="3" fillId="2" borderId="15" xfId="3" applyNumberFormat="1" applyFont="1" applyFill="1" applyBorder="1"/>
    <xf numFmtId="171" fontId="3" fillId="0" borderId="0" xfId="3" applyNumberFormat="1" applyFont="1"/>
    <xf numFmtId="171" fontId="3" fillId="0" borderId="11" xfId="3" applyNumberFormat="1" applyFont="1" applyBorder="1"/>
    <xf numFmtId="0" fontId="6" fillId="2" borderId="1" xfId="0" applyFont="1" applyFill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2" borderId="6" xfId="0" applyFont="1" applyFill="1" applyBorder="1"/>
    <xf numFmtId="0" fontId="1" fillId="0" borderId="0" xfId="0" applyFont="1"/>
    <xf numFmtId="0" fontId="1" fillId="0" borderId="11" xfId="0" applyFont="1" applyBorder="1"/>
    <xf numFmtId="0" fontId="8" fillId="5" borderId="1" xfId="0" applyFont="1" applyFill="1" applyBorder="1" applyAlignment="1">
      <alignment horizontal="center" vertical="center"/>
    </xf>
    <xf numFmtId="166" fontId="1" fillId="0" borderId="1" xfId="3" applyBorder="1" applyAlignment="1">
      <alignment horizontal="left" vertical="center" wrapText="1"/>
    </xf>
    <xf numFmtId="0" fontId="4" fillId="0" borderId="0" xfId="0" applyFont="1"/>
    <xf numFmtId="0" fontId="0" fillId="6" borderId="5" xfId="0" applyFill="1" applyBorder="1"/>
    <xf numFmtId="0" fontId="0" fillId="6" borderId="6" xfId="0" applyFill="1" applyBorder="1"/>
    <xf numFmtId="0" fontId="1" fillId="0" borderId="6" xfId="0" applyFont="1" applyBorder="1"/>
    <xf numFmtId="0" fontId="0" fillId="7" borderId="6" xfId="0" applyFill="1" applyBorder="1"/>
    <xf numFmtId="0" fontId="31" fillId="7" borderId="6" xfId="0" applyFont="1" applyFill="1" applyBorder="1" applyAlignment="1">
      <alignment horizontal="center"/>
    </xf>
    <xf numFmtId="169" fontId="31" fillId="7" borderId="6" xfId="3" applyNumberFormat="1" applyFont="1" applyFill="1" applyBorder="1"/>
    <xf numFmtId="0" fontId="32" fillId="0" borderId="1" xfId="0" applyFont="1" applyBorder="1" applyAlignment="1">
      <alignment horizontal="center" vertical="center"/>
    </xf>
    <xf numFmtId="0" fontId="33" fillId="0" borderId="0" xfId="5"/>
    <xf numFmtId="0" fontId="0" fillId="0" borderId="0" xfId="0" applyAlignment="1">
      <alignment horizontal="right"/>
    </xf>
    <xf numFmtId="0" fontId="23" fillId="0" borderId="1" xfId="0" applyFont="1" applyBorder="1" applyAlignment="1">
      <alignment horizontal="right" vertical="center"/>
    </xf>
    <xf numFmtId="9" fontId="6" fillId="0" borderId="1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6" fillId="0" borderId="1" xfId="7" applyNumberFormat="1" applyFont="1" applyBorder="1" applyAlignment="1" applyProtection="1">
      <alignment horizontal="center" vertical="center"/>
      <protection locked="0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right" vertical="center"/>
    </xf>
    <xf numFmtId="0" fontId="1" fillId="0" borderId="0" xfId="0" applyFont="1" applyAlignment="1" applyProtection="1">
      <alignment horizontal="center" vertical="center"/>
      <protection locked="0"/>
    </xf>
    <xf numFmtId="9" fontId="1" fillId="0" borderId="0" xfId="4" applyFont="1" applyBorder="1" applyAlignment="1">
      <alignment horizontal="center" vertical="center"/>
    </xf>
    <xf numFmtId="9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166" fontId="1" fillId="0" borderId="0" xfId="3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171" fontId="3" fillId="0" borderId="0" xfId="3" applyNumberFormat="1" applyFont="1" applyFill="1" applyBorder="1"/>
    <xf numFmtId="0" fontId="1" fillId="0" borderId="5" xfId="0" applyFont="1" applyBorder="1"/>
    <xf numFmtId="0" fontId="1" fillId="0" borderId="0" xfId="0" applyFont="1" applyAlignment="1" applyProtection="1">
      <alignment horizontal="left" vertical="center" wrapText="1" indent="1"/>
      <protection locked="0"/>
    </xf>
    <xf numFmtId="9" fontId="0" fillId="0" borderId="0" xfId="4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1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9" fontId="0" fillId="0" borderId="0" xfId="0" applyNumberFormat="1"/>
    <xf numFmtId="0" fontId="35" fillId="0" borderId="0" xfId="0" applyFont="1"/>
    <xf numFmtId="166" fontId="0" fillId="0" borderId="0" xfId="3" applyFont="1" applyAlignment="1">
      <alignment vertical="center"/>
    </xf>
    <xf numFmtId="164" fontId="0" fillId="0" borderId="0" xfId="0" applyNumberFormat="1" applyAlignment="1">
      <alignment vertical="center"/>
    </xf>
    <xf numFmtId="0" fontId="1" fillId="0" borderId="0" xfId="0" applyFont="1" applyAlignment="1">
      <alignment vertical="center" wrapText="1"/>
    </xf>
    <xf numFmtId="9" fontId="1" fillId="0" borderId="0" xfId="4" applyFont="1" applyAlignment="1">
      <alignment horizontal="center" vertical="center"/>
    </xf>
    <xf numFmtId="174" fontId="0" fillId="0" borderId="0" xfId="0" applyNumberFormat="1"/>
    <xf numFmtId="0" fontId="1" fillId="0" borderId="0" xfId="0" applyFont="1" applyAlignment="1">
      <alignment horizontal="right"/>
    </xf>
    <xf numFmtId="166" fontId="4" fillId="7" borderId="0" xfId="3" applyFont="1" applyFill="1" applyBorder="1" applyAlignment="1" applyProtection="1">
      <alignment horizontal="right" vertical="center"/>
      <protection hidden="1"/>
    </xf>
    <xf numFmtId="166" fontId="1" fillId="0" borderId="0" xfId="3" applyFont="1" applyFill="1" applyBorder="1" applyAlignment="1" applyProtection="1">
      <alignment horizontal="right" vertical="center"/>
      <protection locked="0" hidden="1"/>
    </xf>
    <xf numFmtId="166" fontId="4" fillId="7" borderId="0" xfId="0" applyNumberFormat="1" applyFont="1" applyFill="1" applyAlignment="1">
      <alignment vertical="center"/>
    </xf>
    <xf numFmtId="166" fontId="1" fillId="0" borderId="0" xfId="3" applyFont="1" applyBorder="1" applyAlignment="1" applyProtection="1">
      <alignment horizontal="center" vertical="center"/>
      <protection hidden="1"/>
    </xf>
    <xf numFmtId="175" fontId="1" fillId="0" borderId="0" xfId="6" applyNumberFormat="1" applyFont="1" applyBorder="1" applyAlignment="1">
      <alignment vertical="center"/>
    </xf>
    <xf numFmtId="175" fontId="4" fillId="7" borderId="0" xfId="0" applyNumberFormat="1" applyFont="1" applyFill="1" applyAlignment="1">
      <alignment vertical="center"/>
    </xf>
    <xf numFmtId="175" fontId="1" fillId="0" borderId="0" xfId="0" applyNumberFormat="1" applyFont="1" applyAlignment="1">
      <alignment vertical="center"/>
    </xf>
    <xf numFmtId="175" fontId="0" fillId="0" borderId="0" xfId="0" applyNumberFormat="1"/>
    <xf numFmtId="166" fontId="1" fillId="0" borderId="0" xfId="0" applyNumberFormat="1" applyFont="1" applyAlignment="1" applyProtection="1">
      <alignment horizontal="center" vertical="center"/>
      <protection locked="0"/>
    </xf>
    <xf numFmtId="166" fontId="1" fillId="0" borderId="0" xfId="2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vertical="center"/>
    </xf>
    <xf numFmtId="166" fontId="20" fillId="9" borderId="1" xfId="3" applyFont="1" applyFill="1" applyBorder="1" applyAlignment="1" applyProtection="1">
      <alignment horizontal="left" vertical="center"/>
      <protection hidden="1"/>
    </xf>
    <xf numFmtId="166" fontId="4" fillId="9" borderId="1" xfId="0" applyNumberFormat="1" applyFont="1" applyFill="1" applyBorder="1" applyAlignment="1">
      <alignment horizontal="left" vertical="center"/>
    </xf>
    <xf numFmtId="0" fontId="6" fillId="9" borderId="0" xfId="0" applyFont="1" applyFill="1" applyAlignment="1">
      <alignment horizontal="center"/>
    </xf>
    <xf numFmtId="169" fontId="6" fillId="9" borderId="0" xfId="3" applyNumberFormat="1" applyFont="1" applyFill="1" applyBorder="1" applyAlignment="1" applyProtection="1">
      <alignment horizontal="right"/>
      <protection hidden="1"/>
    </xf>
    <xf numFmtId="169" fontId="6" fillId="9" borderId="0" xfId="3" applyNumberFormat="1" applyFont="1" applyFill="1" applyBorder="1" applyProtection="1">
      <protection hidden="1"/>
    </xf>
    <xf numFmtId="9" fontId="6" fillId="0" borderId="0" xfId="0" applyNumberFormat="1" applyFont="1" applyAlignment="1" applyProtection="1">
      <alignment horizontal="center" vertical="center"/>
      <protection locked="0"/>
    </xf>
    <xf numFmtId="166" fontId="6" fillId="9" borderId="0" xfId="3" applyFont="1" applyFill="1" applyBorder="1" applyAlignment="1" applyProtection="1">
      <alignment horizontal="right"/>
      <protection hidden="1"/>
    </xf>
    <xf numFmtId="166" fontId="6" fillId="9" borderId="0" xfId="3" applyFont="1" applyFill="1" applyBorder="1" applyAlignment="1" applyProtection="1">
      <alignment horizontal="right" indent="1"/>
      <protection hidden="1"/>
    </xf>
    <xf numFmtId="166" fontId="5" fillId="9" borderId="0" xfId="3" applyFont="1" applyFill="1" applyBorder="1" applyAlignment="1" applyProtection="1">
      <alignment horizontal="right"/>
      <protection hidden="1"/>
    </xf>
    <xf numFmtId="166" fontId="6" fillId="9" borderId="0" xfId="3" applyFont="1" applyFill="1" applyBorder="1" applyAlignment="1" applyProtection="1">
      <alignment horizontal="left"/>
      <protection hidden="1"/>
    </xf>
    <xf numFmtId="166" fontId="6" fillId="9" borderId="0" xfId="3" applyFont="1" applyFill="1" applyBorder="1"/>
    <xf numFmtId="166" fontId="6" fillId="9" borderId="0" xfId="3" applyFont="1" applyFill="1" applyBorder="1" applyProtection="1">
      <protection locked="0" hidden="1"/>
    </xf>
    <xf numFmtId="166" fontId="6" fillId="9" borderId="0" xfId="3" applyFont="1" applyFill="1" applyBorder="1" applyProtection="1">
      <protection hidden="1"/>
    </xf>
    <xf numFmtId="9" fontId="0" fillId="0" borderId="0" xfId="0" applyNumberFormat="1"/>
    <xf numFmtId="166" fontId="0" fillId="7" borderId="0" xfId="3" applyFont="1" applyFill="1" applyAlignment="1">
      <alignment horizontal="center" vertical="center"/>
    </xf>
    <xf numFmtId="166" fontId="1" fillId="0" borderId="0" xfId="3" applyFont="1" applyBorder="1" applyAlignment="1" applyProtection="1">
      <alignment horizontal="center" vertical="center"/>
    </xf>
    <xf numFmtId="166" fontId="1" fillId="0" borderId="0" xfId="3" applyFont="1" applyFill="1" applyBorder="1" applyAlignment="1" applyProtection="1">
      <alignment horizontal="center" vertical="center"/>
    </xf>
    <xf numFmtId="173" fontId="0" fillId="0" borderId="0" xfId="4" applyNumberFormat="1" applyFont="1" applyAlignment="1">
      <alignment horizontal="center" vertical="center"/>
    </xf>
    <xf numFmtId="173" fontId="0" fillId="8" borderId="0" xfId="4" applyNumberFormat="1" applyFont="1" applyFill="1" applyAlignment="1">
      <alignment horizontal="center" vertical="center"/>
    </xf>
    <xf numFmtId="173" fontId="4" fillId="8" borderId="0" xfId="4" applyNumberFormat="1" applyFont="1" applyFill="1" applyAlignment="1" applyProtection="1">
      <alignment horizontal="center" vertical="center"/>
      <protection locked="0"/>
    </xf>
    <xf numFmtId="166" fontId="1" fillId="0" borderId="0" xfId="3" applyFont="1" applyFill="1" applyBorder="1" applyAlignment="1" applyProtection="1">
      <alignment horizontal="right" vertical="center"/>
      <protection locked="0"/>
    </xf>
    <xf numFmtId="9" fontId="4" fillId="11" borderId="0" xfId="0" applyNumberFormat="1" applyFont="1" applyFill="1" applyAlignment="1" applyProtection="1">
      <alignment horizontal="center" vertical="center"/>
      <protection locked="0"/>
    </xf>
    <xf numFmtId="166" fontId="0" fillId="12" borderId="0" xfId="3" applyFont="1" applyFill="1" applyAlignment="1" applyProtection="1">
      <alignment horizontal="center" vertical="center"/>
      <protection locked="0"/>
    </xf>
    <xf numFmtId="9" fontId="7" fillId="0" borderId="0" xfId="4" applyFont="1" applyAlignment="1">
      <alignment horizontal="left"/>
    </xf>
    <xf numFmtId="9" fontId="6" fillId="0" borderId="0" xfId="4" applyFont="1" applyAlignment="1">
      <alignment horizontal="left"/>
    </xf>
    <xf numFmtId="9" fontId="6" fillId="0" borderId="0" xfId="4" applyFont="1" applyAlignment="1">
      <alignment horizontal="center"/>
    </xf>
    <xf numFmtId="9" fontId="6" fillId="0" borderId="0" xfId="4" applyFont="1" applyAlignment="1">
      <alignment horizontal="center" vertical="center"/>
    </xf>
    <xf numFmtId="9" fontId="6" fillId="0" borderId="0" xfId="4" applyFont="1"/>
    <xf numFmtId="166" fontId="0" fillId="0" borderId="0" xfId="3" applyFont="1"/>
    <xf numFmtId="9" fontId="0" fillId="0" borderId="0" xfId="4" applyFont="1"/>
    <xf numFmtId="9" fontId="6" fillId="6" borderId="0" xfId="4" applyFont="1" applyFill="1" applyAlignment="1">
      <alignment horizontal="center" vertical="center"/>
    </xf>
    <xf numFmtId="9" fontId="6" fillId="6" borderId="0" xfId="0" applyNumberFormat="1" applyFont="1" applyFill="1" applyAlignment="1" applyProtection="1">
      <alignment horizontal="center" vertical="center"/>
      <protection locked="0"/>
    </xf>
    <xf numFmtId="9" fontId="6" fillId="6" borderId="0" xfId="0" applyNumberFormat="1" applyFont="1" applyFill="1" applyAlignment="1">
      <alignment horizontal="center" vertical="center"/>
    </xf>
    <xf numFmtId="44" fontId="6" fillId="0" borderId="0" xfId="0" applyNumberFormat="1" applyFont="1"/>
    <xf numFmtId="2" fontId="6" fillId="0" borderId="0" xfId="0" applyNumberFormat="1" applyFont="1"/>
    <xf numFmtId="166" fontId="4" fillId="0" borderId="0" xfId="3" applyFont="1"/>
    <xf numFmtId="9" fontId="4" fillId="0" borderId="0" xfId="4" applyFont="1"/>
    <xf numFmtId="0" fontId="23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right" vertical="center" indent="1"/>
      <protection locked="0"/>
    </xf>
    <xf numFmtId="0" fontId="23" fillId="0" borderId="0" xfId="0" applyFont="1" applyAlignment="1">
      <alignment horizontal="right" vertical="center"/>
    </xf>
    <xf numFmtId="9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>
      <alignment horizontal="right" vertical="center" indent="1"/>
    </xf>
    <xf numFmtId="0" fontId="22" fillId="2" borderId="0" xfId="0" applyFont="1" applyFill="1" applyAlignment="1">
      <alignment horizontal="right" vertical="center" indent="1"/>
    </xf>
    <xf numFmtId="0" fontId="24" fillId="2" borderId="0" xfId="0" applyFont="1" applyFill="1" applyAlignment="1">
      <alignment horizontal="center" vertical="center"/>
    </xf>
    <xf numFmtId="0" fontId="28" fillId="0" borderId="0" xfId="0" applyFont="1" applyAlignment="1" applyProtection="1">
      <alignment horizontal="center" vertical="top" wrapText="1"/>
      <protection locked="0"/>
    </xf>
    <xf numFmtId="0" fontId="8" fillId="0" borderId="0" xfId="0" applyFont="1" applyAlignment="1" applyProtection="1">
      <alignment horizontal="center" vertical="top" wrapText="1"/>
      <protection locked="0"/>
    </xf>
    <xf numFmtId="9" fontId="6" fillId="0" borderId="0" xfId="4" applyFont="1" applyBorder="1" applyAlignment="1">
      <alignment horizontal="center" vertical="center"/>
    </xf>
    <xf numFmtId="0" fontId="22" fillId="0" borderId="0" xfId="0" applyFont="1" applyAlignment="1">
      <alignment horizontal="right" vertical="center" indent="1"/>
    </xf>
    <xf numFmtId="0" fontId="8" fillId="0" borderId="0" xfId="0" applyFont="1" applyAlignment="1" applyProtection="1">
      <alignment vertical="center" wrapText="1"/>
      <protection locked="0"/>
    </xf>
    <xf numFmtId="169" fontId="8" fillId="0" borderId="0" xfId="3" quotePrefix="1" applyNumberFormat="1" applyFont="1" applyBorder="1" applyAlignment="1" applyProtection="1">
      <alignment horizontal="center"/>
      <protection locked="0"/>
    </xf>
    <xf numFmtId="169" fontId="8" fillId="0" borderId="0" xfId="3" applyNumberFormat="1" applyFont="1" applyBorder="1" applyAlignment="1" applyProtection="1">
      <alignment horizontal="center"/>
      <protection locked="0"/>
    </xf>
    <xf numFmtId="0" fontId="38" fillId="0" borderId="0" xfId="0" applyFont="1" applyProtection="1">
      <protection locked="0"/>
    </xf>
    <xf numFmtId="0" fontId="7" fillId="2" borderId="0" xfId="0" applyFont="1" applyFill="1" applyAlignment="1">
      <alignment horizontal="center"/>
    </xf>
    <xf numFmtId="0" fontId="8" fillId="0" borderId="0" xfId="0" applyFont="1" applyProtection="1">
      <protection locked="0"/>
    </xf>
    <xf numFmtId="166" fontId="22" fillId="9" borderId="0" xfId="3" applyFont="1" applyFill="1" applyBorder="1" applyAlignment="1">
      <alignment horizontal="center" vertical="center" wrapText="1"/>
    </xf>
    <xf numFmtId="168" fontId="8" fillId="0" borderId="0" xfId="0" applyNumberFormat="1" applyFont="1" applyAlignment="1" applyProtection="1">
      <alignment horizontal="left"/>
      <protection locked="0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166" fontId="22" fillId="0" borderId="0" xfId="3" applyFont="1" applyBorder="1" applyAlignment="1">
      <alignment horizontal="center" vertical="center" wrapText="1"/>
    </xf>
    <xf numFmtId="0" fontId="8" fillId="0" borderId="0" xfId="0" applyFont="1" applyAlignment="1" applyProtection="1">
      <alignment horizontal="left"/>
      <protection locked="0"/>
    </xf>
    <xf numFmtId="0" fontId="6" fillId="0" borderId="0" xfId="0" applyFont="1" applyAlignment="1">
      <alignment horizontal="left"/>
    </xf>
    <xf numFmtId="0" fontId="2" fillId="0" borderId="0" xfId="0" applyFont="1" applyAlignment="1" applyProtection="1">
      <alignment horizontal="center" vertical="center" shrinkToFit="1"/>
      <protection locked="0"/>
    </xf>
    <xf numFmtId="0" fontId="4" fillId="7" borderId="0" xfId="0" applyFont="1" applyFill="1" applyAlignment="1">
      <alignment horizontal="center" vertical="center"/>
    </xf>
    <xf numFmtId="0" fontId="37" fillId="10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4" fillId="7" borderId="0" xfId="0" applyFont="1" applyFill="1" applyAlignment="1" applyProtection="1">
      <alignment horizontal="center" vertical="center" wrapText="1"/>
      <protection locked="0"/>
    </xf>
    <xf numFmtId="0" fontId="4" fillId="7" borderId="0" xfId="0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right" vertical="center"/>
      <protection locked="0"/>
    </xf>
    <xf numFmtId="0" fontId="4" fillId="7" borderId="0" xfId="0" applyFont="1" applyFill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0" fontId="1" fillId="0" borderId="0" xfId="0" applyFont="1" applyAlignment="1" applyProtection="1">
      <alignment horizontal="right" vertical="center" wrapText="1"/>
      <protection locked="0"/>
    </xf>
    <xf numFmtId="0" fontId="4" fillId="7" borderId="0" xfId="0" applyFont="1" applyFill="1" applyAlignment="1">
      <alignment horizontal="center" vertical="center" wrapText="1"/>
    </xf>
    <xf numFmtId="0" fontId="1" fillId="0" borderId="0" xfId="0" applyFont="1" applyAlignment="1" applyProtection="1">
      <alignment horizontal="left" vertical="center" wrapText="1" indent="1"/>
      <protection locked="0"/>
    </xf>
    <xf numFmtId="0" fontId="4" fillId="7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166" fontId="1" fillId="0" borderId="0" xfId="3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6" fontId="1" fillId="0" borderId="0" xfId="3" applyFont="1" applyBorder="1" applyAlignment="1">
      <alignment horizontal="center" vertical="center"/>
    </xf>
    <xf numFmtId="0" fontId="4" fillId="7" borderId="0" xfId="0" applyFont="1" applyFill="1" applyAlignment="1">
      <alignment horizontal="right" vertical="center" indent="1"/>
    </xf>
    <xf numFmtId="166" fontId="1" fillId="0" borderId="0" xfId="0" applyNumberFormat="1" applyFont="1" applyAlignment="1" applyProtection="1">
      <alignment horizontal="left" vertical="center" wrapText="1" indent="1"/>
      <protection locked="0"/>
    </xf>
    <xf numFmtId="166" fontId="4" fillId="7" borderId="0" xfId="0" applyNumberFormat="1" applyFont="1" applyFill="1" applyAlignment="1">
      <alignment horizontal="right" vertical="center" indent="1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center" wrapText="1" indent="1"/>
    </xf>
    <xf numFmtId="0" fontId="23" fillId="0" borderId="0" xfId="0" applyFont="1" applyAlignment="1">
      <alignment horizontal="left" vertical="center" indent="1"/>
    </xf>
    <xf numFmtId="0" fontId="11" fillId="3" borderId="1" xfId="0" applyFont="1" applyFill="1" applyBorder="1" applyAlignment="1">
      <alignment horizontal="center" vertical="center" textRotation="90"/>
    </xf>
    <xf numFmtId="0" fontId="0" fillId="0" borderId="25" xfId="0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 textRotation="90"/>
    </xf>
    <xf numFmtId="0" fontId="15" fillId="3" borderId="26" xfId="0" applyFont="1" applyFill="1" applyBorder="1" applyAlignment="1">
      <alignment horizontal="center" vertical="center" textRotation="90"/>
    </xf>
    <xf numFmtId="0" fontId="15" fillId="3" borderId="2" xfId="0" applyFont="1" applyFill="1" applyBorder="1" applyAlignment="1">
      <alignment horizontal="center" vertical="center" textRotation="90"/>
    </xf>
    <xf numFmtId="0" fontId="11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27" fillId="0" borderId="1" xfId="0" applyFont="1" applyBorder="1" applyAlignment="1" applyProtection="1">
      <alignment horizontal="center" vertical="center"/>
      <protection locked="0"/>
    </xf>
    <xf numFmtId="0" fontId="0" fillId="0" borderId="24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7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22" xfId="0" applyFont="1" applyBorder="1" applyAlignment="1">
      <alignment horizontal="center" vertical="center" textRotation="90"/>
    </xf>
    <xf numFmtId="0" fontId="13" fillId="0" borderId="23" xfId="0" applyFont="1" applyBorder="1" applyAlignment="1">
      <alignment horizontal="center" vertical="center" textRotation="90"/>
    </xf>
    <xf numFmtId="0" fontId="11" fillId="3" borderId="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90"/>
    </xf>
    <xf numFmtId="0" fontId="8" fillId="0" borderId="25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textRotation="90"/>
    </xf>
    <xf numFmtId="0" fontId="11" fillId="3" borderId="26" xfId="0" applyFont="1" applyFill="1" applyBorder="1" applyAlignment="1">
      <alignment horizontal="center" vertical="center" textRotation="90"/>
    </xf>
    <xf numFmtId="0" fontId="11" fillId="3" borderId="2" xfId="0" applyFont="1" applyFill="1" applyBorder="1" applyAlignment="1">
      <alignment horizontal="center" vertical="center" textRotation="90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 textRotation="90"/>
    </xf>
    <xf numFmtId="0" fontId="8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 textRotation="90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8" fillId="3" borderId="3" xfId="0" applyFont="1" applyFill="1" applyBorder="1" applyAlignment="1" applyProtection="1">
      <alignment horizontal="center" vertical="center"/>
      <protection locked="0"/>
    </xf>
    <xf numFmtId="0" fontId="8" fillId="3" borderId="14" xfId="0" applyFont="1" applyFill="1" applyBorder="1" applyAlignment="1" applyProtection="1">
      <alignment horizontal="center" vertical="center"/>
      <protection locked="0"/>
    </xf>
    <xf numFmtId="0" fontId="32" fillId="0" borderId="3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6" fillId="3" borderId="27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14" fillId="0" borderId="22" xfId="0" applyFont="1" applyBorder="1" applyAlignment="1">
      <alignment horizontal="center" vertical="center" textRotation="90"/>
    </xf>
    <xf numFmtId="0" fontId="14" fillId="0" borderId="23" xfId="0" applyFont="1" applyBorder="1" applyAlignment="1">
      <alignment horizontal="center" vertical="center" textRotation="9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23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18" xfId="0" applyFont="1" applyFill="1" applyBorder="1" applyAlignment="1">
      <alignment horizontal="left"/>
    </xf>
    <xf numFmtId="0" fontId="6" fillId="3" borderId="14" xfId="0" applyFont="1" applyFill="1" applyBorder="1" applyAlignment="1">
      <alignment horizontal="left"/>
    </xf>
    <xf numFmtId="0" fontId="6" fillId="3" borderId="23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textRotation="90"/>
    </xf>
    <xf numFmtId="0" fontId="12" fillId="3" borderId="26" xfId="0" applyFont="1" applyFill="1" applyBorder="1" applyAlignment="1">
      <alignment horizontal="center" vertical="center" textRotation="90"/>
    </xf>
    <xf numFmtId="0" fontId="12" fillId="3" borderId="2" xfId="0" applyFont="1" applyFill="1" applyBorder="1" applyAlignment="1">
      <alignment horizontal="center" vertical="center" textRotation="90"/>
    </xf>
    <xf numFmtId="0" fontId="14" fillId="0" borderId="25" xfId="0" applyFont="1" applyBorder="1" applyAlignment="1">
      <alignment horizontal="center" vertical="center" textRotation="90"/>
    </xf>
    <xf numFmtId="0" fontId="0" fillId="3" borderId="3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1" fontId="10" fillId="0" borderId="6" xfId="3" applyNumberFormat="1" applyFont="1" applyBorder="1" applyAlignment="1">
      <alignment horizontal="center"/>
    </xf>
    <xf numFmtId="171" fontId="10" fillId="0" borderId="15" xfId="3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top"/>
    </xf>
    <xf numFmtId="0" fontId="23" fillId="0" borderId="1" xfId="0" applyFont="1" applyBorder="1" applyAlignment="1">
      <alignment horizontal="left" vertical="top"/>
    </xf>
    <xf numFmtId="0" fontId="23" fillId="0" borderId="3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</cellXfs>
  <cellStyles count="11">
    <cellStyle name="Euro" xfId="1" xr:uid="{00000000-0005-0000-0000-000000000000}"/>
    <cellStyle name="Hipervínculo" xfId="5" builtinId="8"/>
    <cellStyle name="Millares" xfId="2" builtinId="3"/>
    <cellStyle name="Moneda" xfId="3" builtinId="4"/>
    <cellStyle name="Moneda [0]" xfId="6" builtinId="7"/>
    <cellStyle name="Moneda [0] 2" xfId="10" xr:uid="{2D55EF9B-9711-41C8-8C8A-77470186C790}"/>
    <cellStyle name="Moneda [0] 3" xfId="8" xr:uid="{7314D6E5-802B-4FA7-B667-C676AC53E128}"/>
    <cellStyle name="Normal" xfId="0" builtinId="0"/>
    <cellStyle name="Normal 2" xfId="9" xr:uid="{479252B3-F61D-4A73-AC60-889EC76744E7}"/>
    <cellStyle name="Normal 3" xfId="7" xr:uid="{040868FF-11B8-4B7B-9F54-590A1B0578DA}"/>
    <cellStyle name="Porcentaje" xfId="4" builtinId="5"/>
  </cellStyles>
  <dxfs count="0"/>
  <tableStyles count="0" defaultTableStyle="TableStyleMedium9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1238250</xdr:colOff>
      <xdr:row>1</xdr:row>
      <xdr:rowOff>533401</xdr:rowOff>
    </xdr:from>
    <xdr:to>
      <xdr:col>0</xdr:col>
      <xdr:colOff>2638425</xdr:colOff>
      <xdr:row>1</xdr:row>
      <xdr:rowOff>1781175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C1D594-A585-4911-BF01-15DB130CF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781051"/>
          <a:ext cx="1400175" cy="1247774"/>
        </a:xfrm>
        <a:prstGeom prst="rect">
          <a:avLst/>
        </a:prstGeom>
      </xdr:spPr>
    </xdr:pic>
    <xdr:clientData/>
  </xdr:twoCellAnchor>
  <xdr:twoCellAnchor editAs="oneCell">
    <xdr:from>
      <xdr:col>1</xdr:col>
      <xdr:colOff>1302829</xdr:colOff>
      <xdr:row>1</xdr:row>
      <xdr:rowOff>533402</xdr:rowOff>
    </xdr:from>
    <xdr:to>
      <xdr:col>1</xdr:col>
      <xdr:colOff>2761906</xdr:colOff>
      <xdr:row>1</xdr:row>
      <xdr:rowOff>1819276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2E9D40-3B99-4DCF-898B-155BFAFCF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0954" y="781052"/>
          <a:ext cx="1459077" cy="12858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314326</xdr:colOff>
      <xdr:row>2</xdr:row>
      <xdr:rowOff>123826</xdr:rowOff>
    </xdr:from>
    <xdr:to>
      <xdr:col>0</xdr:col>
      <xdr:colOff>685800</xdr:colOff>
      <xdr:row>2</xdr:row>
      <xdr:rowOff>886502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9387C4-0F26-455A-AA25-F84A5ABF2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885826"/>
          <a:ext cx="371474" cy="762676"/>
        </a:xfrm>
        <a:prstGeom prst="rect">
          <a:avLst/>
        </a:prstGeom>
      </xdr:spPr>
    </xdr:pic>
    <xdr:clientData/>
  </xdr:twoCellAnchor>
  <xdr:oneCellAnchor>
    <xdr:from>
      <xdr:col>0</xdr:col>
      <xdr:colOff>314326</xdr:colOff>
      <xdr:row>24</xdr:row>
      <xdr:rowOff>123826</xdr:rowOff>
    </xdr:from>
    <xdr:ext cx="371474" cy="762676"/>
    <xdr:pic>
      <xdr:nvPicPr>
        <xdr:cNvPr id="3" name="Imagen 2">
          <a:extLst>
            <a:ext uri="{FF2B5EF4-FFF2-40B4-BE49-F238E27FC236}">
              <a16:creationId xmlns:a16="http://schemas.microsoft.com/office/drawing/2014/main" id="{4AC1CE16-9A50-4A82-A6DD-303FFC2BD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885826"/>
          <a:ext cx="371474" cy="7626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terrapidisimo.com/cotiza-tu-envio/" TargetMode="External"/><Relationship Id="rId7" Type="http://schemas.openxmlformats.org/officeDocument/2006/relationships/comments" Target="../comments7.xml"/><Relationship Id="rId2" Type="http://schemas.openxmlformats.org/officeDocument/2006/relationships/hyperlink" Target="http://www.enviacolvanes.com.co/" TargetMode="External"/><Relationship Id="rId1" Type="http://schemas.openxmlformats.org/officeDocument/2006/relationships/hyperlink" Target="http://www.tcc.com.co/" TargetMode="External"/><Relationship Id="rId6" Type="http://schemas.openxmlformats.org/officeDocument/2006/relationships/vmlDrawing" Target="../drawings/vmlDrawing7.vm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www.mudang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1AFB-0885-4419-8E55-7C75FBA7F7D3}">
  <dimension ref="A1:B2"/>
  <sheetViews>
    <sheetView workbookViewId="0">
      <selection activeCell="A8" sqref="A8"/>
    </sheetView>
  </sheetViews>
  <sheetFormatPr baseColWidth="10" defaultRowHeight="12.75" x14ac:dyDescent="0.2"/>
  <cols>
    <col min="1" max="2" width="60.5703125" customWidth="1"/>
  </cols>
  <sheetData>
    <row r="1" spans="1:2" ht="30" customHeight="1" x14ac:dyDescent="0.2">
      <c r="A1" s="233" t="s">
        <v>184</v>
      </c>
      <c r="B1" s="233"/>
    </row>
    <row r="2" spans="1:2" ht="150" customHeight="1" x14ac:dyDescent="0.2">
      <c r="A2" s="138" t="s">
        <v>200</v>
      </c>
      <c r="B2" s="138" t="s">
        <v>201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D334-04A7-4FC3-8793-58D0BB1647CF}">
  <dimension ref="A1:I32"/>
  <sheetViews>
    <sheetView zoomScaleNormal="100" workbookViewId="0">
      <selection activeCell="J16" sqref="J16"/>
    </sheetView>
  </sheetViews>
  <sheetFormatPr baseColWidth="10" defaultRowHeight="12.75" x14ac:dyDescent="0.2"/>
  <cols>
    <col min="1" max="2" width="14.5703125" customWidth="1"/>
    <col min="3" max="3" width="30.5703125" customWidth="1"/>
    <col min="5" max="6" width="16.5703125" customWidth="1"/>
    <col min="7" max="7" width="9.7109375" customWidth="1"/>
    <col min="8" max="8" width="13.85546875" bestFit="1" customWidth="1"/>
    <col min="9" max="9" width="11.5703125" bestFit="1" customWidth="1"/>
  </cols>
  <sheetData>
    <row r="1" spans="1:9" ht="30" customHeight="1" x14ac:dyDescent="0.2">
      <c r="A1" s="237" t="s">
        <v>199</v>
      </c>
      <c r="B1" s="237"/>
      <c r="C1" s="237"/>
      <c r="D1" s="237"/>
      <c r="E1" s="237"/>
      <c r="F1" s="237"/>
      <c r="H1" s="234" t="s">
        <v>240</v>
      </c>
      <c r="I1" s="235"/>
    </row>
    <row r="2" spans="1:9" ht="30" customHeight="1" x14ac:dyDescent="0.2">
      <c r="A2" s="137" t="s">
        <v>222</v>
      </c>
      <c r="B2" s="137" t="s">
        <v>223</v>
      </c>
      <c r="C2" s="126" t="s">
        <v>175</v>
      </c>
      <c r="D2" s="126" t="s">
        <v>176</v>
      </c>
      <c r="E2" s="137" t="s">
        <v>190</v>
      </c>
      <c r="F2" s="137" t="s">
        <v>191</v>
      </c>
      <c r="G2" s="142" t="s">
        <v>212</v>
      </c>
      <c r="H2" s="126" t="s">
        <v>239</v>
      </c>
      <c r="I2" s="189">
        <v>0</v>
      </c>
    </row>
    <row r="3" spans="1:9" ht="80.099999999999994" customHeight="1" x14ac:dyDescent="0.2">
      <c r="A3" s="133"/>
      <c r="B3" s="133" t="s">
        <v>171</v>
      </c>
      <c r="C3" s="141" t="s">
        <v>172</v>
      </c>
      <c r="D3" s="130">
        <v>1</v>
      </c>
      <c r="E3" s="184">
        <f>IF(I3&gt;0, I3 / (1 - $I$2), 0)</f>
        <v>100</v>
      </c>
      <c r="F3" s="160">
        <f>E3*D3</f>
        <v>100</v>
      </c>
      <c r="G3" s="142">
        <f t="shared" ref="G3:G14" si="0">F3/$F$15</f>
        <v>0.5</v>
      </c>
      <c r="H3" s="128" t="s">
        <v>241</v>
      </c>
      <c r="I3" s="190">
        <v>100</v>
      </c>
    </row>
    <row r="4" spans="1:9" ht="80.099999999999994" customHeight="1" x14ac:dyDescent="0.2">
      <c r="A4" s="133"/>
      <c r="B4" s="133"/>
      <c r="C4" s="133"/>
      <c r="D4" s="130">
        <v>0</v>
      </c>
      <c r="E4" s="184">
        <f t="shared" ref="E4:E5" si="1">IF(I4&gt;0, I4 / (1 - $I$2), 0)</f>
        <v>0</v>
      </c>
      <c r="F4" s="160">
        <f t="shared" ref="F4:F5" si="2">E4*D4</f>
        <v>0</v>
      </c>
      <c r="G4" s="142">
        <f t="shared" si="0"/>
        <v>0</v>
      </c>
      <c r="H4" s="128" t="s">
        <v>241</v>
      </c>
      <c r="I4" s="190">
        <v>0</v>
      </c>
    </row>
    <row r="5" spans="1:9" ht="80.099999999999994" customHeight="1" x14ac:dyDescent="0.2">
      <c r="A5" s="133"/>
      <c r="B5" s="133"/>
      <c r="C5" s="133"/>
      <c r="D5" s="130">
        <v>0</v>
      </c>
      <c r="E5" s="184">
        <f t="shared" si="1"/>
        <v>0</v>
      </c>
      <c r="F5" s="160">
        <f t="shared" si="2"/>
        <v>0</v>
      </c>
      <c r="G5" s="142">
        <f t="shared" si="0"/>
        <v>0</v>
      </c>
      <c r="H5" s="128" t="s">
        <v>241</v>
      </c>
      <c r="I5" s="190">
        <v>0</v>
      </c>
    </row>
    <row r="6" spans="1:9" s="56" customFormat="1" ht="30" customHeight="1" x14ac:dyDescent="0.2">
      <c r="A6" s="238" t="s">
        <v>193</v>
      </c>
      <c r="B6" s="238"/>
      <c r="C6" s="238"/>
      <c r="D6" s="238"/>
      <c r="E6" s="238"/>
      <c r="F6" s="159">
        <f>SUM(F3:F5)</f>
        <v>100</v>
      </c>
      <c r="G6" s="142">
        <f t="shared" si="0"/>
        <v>0.5</v>
      </c>
      <c r="H6" s="126" t="s">
        <v>242</v>
      </c>
      <c r="I6" s="182">
        <f>IF(F6&gt;0, F6 * $I$2, 0)</f>
        <v>0</v>
      </c>
    </row>
    <row r="7" spans="1:9" s="56" customFormat="1" x14ac:dyDescent="0.2">
      <c r="A7" s="239" t="s">
        <v>184</v>
      </c>
      <c r="B7" s="239"/>
      <c r="C7" s="239"/>
      <c r="D7" s="243" t="s">
        <v>196</v>
      </c>
      <c r="E7" s="135" t="s">
        <v>178</v>
      </c>
      <c r="F7" s="161">
        <v>100</v>
      </c>
      <c r="G7" s="142">
        <f t="shared" si="0"/>
        <v>0.5</v>
      </c>
    </row>
    <row r="8" spans="1:9" s="56" customFormat="1" x14ac:dyDescent="0.2">
      <c r="A8" s="239"/>
      <c r="B8" s="239"/>
      <c r="C8" s="239"/>
      <c r="D8" s="240"/>
      <c r="E8" s="135" t="s">
        <v>177</v>
      </c>
      <c r="F8" s="161">
        <v>0</v>
      </c>
      <c r="G8" s="142">
        <f t="shared" si="0"/>
        <v>0</v>
      </c>
    </row>
    <row r="9" spans="1:9" s="56" customFormat="1" x14ac:dyDescent="0.2">
      <c r="A9" s="240" t="s">
        <v>181</v>
      </c>
      <c r="B9" s="240"/>
      <c r="C9" s="240"/>
      <c r="D9" s="240"/>
      <c r="E9" s="240"/>
      <c r="F9" s="161">
        <v>0</v>
      </c>
      <c r="G9" s="142">
        <f t="shared" si="0"/>
        <v>0</v>
      </c>
    </row>
    <row r="10" spans="1:9" s="56" customFormat="1" x14ac:dyDescent="0.2">
      <c r="A10" s="236" t="s">
        <v>180</v>
      </c>
      <c r="B10" s="236"/>
      <c r="C10" s="236"/>
      <c r="D10" s="236"/>
      <c r="E10" s="132">
        <v>0</v>
      </c>
      <c r="F10" s="161">
        <v>0</v>
      </c>
      <c r="G10" s="142">
        <f t="shared" si="0"/>
        <v>0</v>
      </c>
    </row>
    <row r="11" spans="1:9" s="56" customFormat="1" x14ac:dyDescent="0.2">
      <c r="A11" s="236" t="s">
        <v>179</v>
      </c>
      <c r="B11" s="236"/>
      <c r="C11" s="236"/>
      <c r="D11" s="236"/>
      <c r="E11" s="132">
        <v>0</v>
      </c>
      <c r="F11" s="161">
        <v>0</v>
      </c>
      <c r="G11" s="142">
        <f t="shared" si="0"/>
        <v>0</v>
      </c>
    </row>
    <row r="12" spans="1:9" s="56" customFormat="1" ht="12.75" customHeight="1" x14ac:dyDescent="0.2">
      <c r="A12" s="240" t="s">
        <v>183</v>
      </c>
      <c r="B12" s="240"/>
      <c r="C12" s="240"/>
      <c r="D12" s="240"/>
      <c r="E12" s="240"/>
      <c r="F12" s="161">
        <v>0</v>
      </c>
      <c r="G12" s="142">
        <f t="shared" si="0"/>
        <v>0</v>
      </c>
    </row>
    <row r="13" spans="1:9" s="56" customFormat="1" x14ac:dyDescent="0.2">
      <c r="A13" s="240" t="s">
        <v>182</v>
      </c>
      <c r="B13" s="240"/>
      <c r="C13" s="240"/>
      <c r="D13" s="240"/>
      <c r="E13" s="240"/>
      <c r="F13" s="161">
        <v>0</v>
      </c>
      <c r="G13" s="142">
        <f t="shared" si="0"/>
        <v>0</v>
      </c>
    </row>
    <row r="14" spans="1:9" s="56" customFormat="1" ht="12.75" customHeight="1" x14ac:dyDescent="0.2">
      <c r="A14" s="240" t="s">
        <v>186</v>
      </c>
      <c r="B14" s="240"/>
      <c r="C14" s="240"/>
      <c r="D14" s="240"/>
      <c r="E14" s="240"/>
      <c r="F14" s="161">
        <v>0</v>
      </c>
      <c r="G14" s="142">
        <f t="shared" si="0"/>
        <v>0</v>
      </c>
    </row>
    <row r="15" spans="1:9" s="56" customFormat="1" ht="30" customHeight="1" x14ac:dyDescent="0.2">
      <c r="A15" s="238" t="s">
        <v>185</v>
      </c>
      <c r="B15" s="238"/>
      <c r="C15" s="241" t="s">
        <v>192</v>
      </c>
      <c r="D15" s="241"/>
      <c r="E15" s="241"/>
      <c r="F15" s="162">
        <f>SUM(F6:F14)</f>
        <v>200</v>
      </c>
      <c r="G15" s="142">
        <f>SUM(G6:G14)</f>
        <v>1</v>
      </c>
    </row>
    <row r="16" spans="1:9" s="56" customFormat="1" ht="12.75" customHeight="1" x14ac:dyDescent="0.2">
      <c r="A16" s="236" t="s">
        <v>189</v>
      </c>
      <c r="B16" s="236"/>
      <c r="C16" s="236"/>
      <c r="D16" s="236"/>
      <c r="E16" s="132">
        <v>0</v>
      </c>
      <c r="F16" s="163">
        <f>F15*E16+F15</f>
        <v>200</v>
      </c>
    </row>
    <row r="17" spans="1:7" s="56" customFormat="1" x14ac:dyDescent="0.2">
      <c r="A17" s="236" t="s">
        <v>187</v>
      </c>
      <c r="B17" s="236"/>
      <c r="C17" s="236"/>
      <c r="D17" s="236"/>
      <c r="E17" s="132">
        <v>0.03</v>
      </c>
      <c r="F17" s="163">
        <f>F15*E17+F15</f>
        <v>206</v>
      </c>
    </row>
    <row r="18" spans="1:7" s="56" customFormat="1" x14ac:dyDescent="0.2">
      <c r="A18" s="236" t="s">
        <v>188</v>
      </c>
      <c r="B18" s="236"/>
      <c r="C18" s="236"/>
      <c r="D18" s="236"/>
      <c r="E18" s="132">
        <v>0.06</v>
      </c>
      <c r="F18" s="163">
        <f>F15*E18+F15</f>
        <v>212</v>
      </c>
    </row>
    <row r="19" spans="1:7" x14ac:dyDescent="0.2">
      <c r="A19" s="117"/>
      <c r="B19" s="117"/>
      <c r="C19" s="117"/>
      <c r="D19" s="14"/>
      <c r="E19" s="14"/>
      <c r="F19" s="164"/>
    </row>
    <row r="20" spans="1:7" ht="30" customHeight="1" x14ac:dyDescent="0.2">
      <c r="A20" s="233" t="s">
        <v>211</v>
      </c>
      <c r="B20" s="233"/>
      <c r="C20" s="233"/>
      <c r="D20" s="233"/>
      <c r="E20" s="233"/>
      <c r="F20" s="162">
        <f>SUM(F7:F14)</f>
        <v>100</v>
      </c>
      <c r="G20" s="185">
        <f>F20/F15</f>
        <v>0.5</v>
      </c>
    </row>
    <row r="21" spans="1:7" x14ac:dyDescent="0.2">
      <c r="A21" s="117"/>
      <c r="B21" s="117"/>
      <c r="C21" s="117"/>
      <c r="D21" s="14"/>
      <c r="E21" s="14"/>
    </row>
    <row r="22" spans="1:7" x14ac:dyDescent="0.2">
      <c r="A22" s="156" t="s">
        <v>176</v>
      </c>
      <c r="B22" s="56">
        <f>+SUM(D3:$D$6)</f>
        <v>1</v>
      </c>
      <c r="C22" s="155">
        <f>+((F15-F28)-F6)/B22</f>
        <v>60</v>
      </c>
      <c r="D22" s="150" t="s">
        <v>213</v>
      </c>
      <c r="E22" s="149">
        <f>+F29-F15</f>
        <v>0</v>
      </c>
      <c r="F22" s="142">
        <f>E22/$F$6</f>
        <v>0</v>
      </c>
      <c r="G22" s="9"/>
    </row>
    <row r="23" spans="1:7" ht="30" customHeight="1" x14ac:dyDescent="0.2">
      <c r="A23" s="244" t="str">
        <f>A1</f>
        <v>HEADER IF APPLICABLE</v>
      </c>
      <c r="B23" s="244"/>
      <c r="C23" s="244"/>
      <c r="D23" s="244"/>
      <c r="E23" s="244"/>
      <c r="F23" s="244"/>
    </row>
    <row r="24" spans="1:7" ht="30" customHeight="1" x14ac:dyDescent="0.2">
      <c r="A24" s="137" t="s">
        <v>222</v>
      </c>
      <c r="B24" s="137" t="s">
        <v>223</v>
      </c>
      <c r="C24" s="126" t="s">
        <v>175</v>
      </c>
      <c r="D24" s="126" t="s">
        <v>176</v>
      </c>
      <c r="E24" s="137" t="s">
        <v>190</v>
      </c>
      <c r="F24" s="137" t="s">
        <v>191</v>
      </c>
    </row>
    <row r="25" spans="1:7" ht="80.099999999999994" customHeight="1" x14ac:dyDescent="0.2">
      <c r="A25" s="133" t="s">
        <v>224</v>
      </c>
      <c r="B25" s="133" t="s">
        <v>171</v>
      </c>
      <c r="C25" s="141" t="s">
        <v>172</v>
      </c>
      <c r="D25" s="130">
        <f>+D3</f>
        <v>1</v>
      </c>
      <c r="E25" s="183">
        <f>IF(D25&gt;0,ROUND(SUM(E3+$C$22),0),0)</f>
        <v>160</v>
      </c>
      <c r="F25" s="160">
        <f t="shared" ref="F25:F27" si="3">E25*D25</f>
        <v>160</v>
      </c>
      <c r="G25" s="142">
        <f>F25/$F$15</f>
        <v>0.8</v>
      </c>
    </row>
    <row r="26" spans="1:7" ht="80.099999999999994" customHeight="1" x14ac:dyDescent="0.2">
      <c r="A26" s="133"/>
      <c r="B26" s="133"/>
      <c r="C26" s="133"/>
      <c r="D26" s="130">
        <f>+D4</f>
        <v>0</v>
      </c>
      <c r="E26" s="183">
        <f>IF(D26&gt;0,ROUND(SUM(E4+$C$22),0),0)</f>
        <v>0</v>
      </c>
      <c r="F26" s="160">
        <f t="shared" si="3"/>
        <v>0</v>
      </c>
      <c r="G26" s="142">
        <f t="shared" ref="G26:G27" si="4">F26/$F$15</f>
        <v>0</v>
      </c>
    </row>
    <row r="27" spans="1:7" ht="80.099999999999994" customHeight="1" x14ac:dyDescent="0.2">
      <c r="A27" s="133"/>
      <c r="B27" s="133"/>
      <c r="C27" s="133"/>
      <c r="D27" s="130">
        <f>+D5</f>
        <v>0</v>
      </c>
      <c r="E27" s="183">
        <f>IF(D27&gt;0,ROUND(SUM(E5+$C$22),0),0)</f>
        <v>0</v>
      </c>
      <c r="F27" s="160">
        <f t="shared" si="3"/>
        <v>0</v>
      </c>
      <c r="G27" s="142">
        <f t="shared" si="4"/>
        <v>0</v>
      </c>
    </row>
    <row r="28" spans="1:7" ht="29.25" customHeight="1" x14ac:dyDescent="0.2">
      <c r="A28" s="245" t="s">
        <v>214</v>
      </c>
      <c r="B28" s="245"/>
      <c r="C28" s="245"/>
      <c r="D28" s="130">
        <v>1</v>
      </c>
      <c r="E28" s="183">
        <f>ROUND(F15*G28,0)</f>
        <v>40</v>
      </c>
      <c r="F28" s="160">
        <f t="shared" ref="F28" si="5">E28*D28</f>
        <v>40</v>
      </c>
      <c r="G28" s="186">
        <v>0.2</v>
      </c>
    </row>
    <row r="29" spans="1:7" s="56" customFormat="1" ht="30" customHeight="1" x14ac:dyDescent="0.2">
      <c r="A29" s="238" t="s">
        <v>215</v>
      </c>
      <c r="B29" s="238"/>
      <c r="C29" s="238"/>
      <c r="D29" s="238"/>
      <c r="E29" s="238"/>
      <c r="F29" s="159">
        <f>SUM(F25:F28)</f>
        <v>200</v>
      </c>
      <c r="G29" s="142">
        <f>F29/$F$15</f>
        <v>1</v>
      </c>
    </row>
    <row r="30" spans="1:7" x14ac:dyDescent="0.2">
      <c r="A30" s="242"/>
      <c r="B30" s="242"/>
      <c r="C30" s="242"/>
      <c r="D30" s="242"/>
      <c r="E30" s="242"/>
      <c r="F30" s="242"/>
    </row>
    <row r="31" spans="1:7" x14ac:dyDescent="0.2">
      <c r="A31" s="239" t="s">
        <v>225</v>
      </c>
      <c r="B31" s="239"/>
      <c r="C31" s="239"/>
      <c r="D31" s="239"/>
      <c r="E31" s="239"/>
      <c r="F31" s="239"/>
    </row>
    <row r="32" spans="1:7" x14ac:dyDescent="0.2">
      <c r="A32" s="239"/>
      <c r="B32" s="239"/>
      <c r="C32" s="239"/>
      <c r="D32" s="239"/>
      <c r="E32" s="239"/>
      <c r="F32" s="239"/>
    </row>
  </sheetData>
  <mergeCells count="23">
    <mergeCell ref="A31:F32"/>
    <mergeCell ref="A30:F30"/>
    <mergeCell ref="D7:D8"/>
    <mergeCell ref="A23:F23"/>
    <mergeCell ref="A29:E29"/>
    <mergeCell ref="A28:C28"/>
    <mergeCell ref="A20:E20"/>
    <mergeCell ref="A18:D18"/>
    <mergeCell ref="H1:I1"/>
    <mergeCell ref="A17:D17"/>
    <mergeCell ref="A16:D16"/>
    <mergeCell ref="A1:F1"/>
    <mergeCell ref="A6:E6"/>
    <mergeCell ref="A7:B8"/>
    <mergeCell ref="C7:C8"/>
    <mergeCell ref="A9:E9"/>
    <mergeCell ref="A10:D10"/>
    <mergeCell ref="A11:D11"/>
    <mergeCell ref="A12:E12"/>
    <mergeCell ref="A13:E13"/>
    <mergeCell ref="A14:E14"/>
    <mergeCell ref="C15:E15"/>
    <mergeCell ref="A15:B15"/>
  </mergeCells>
  <pageMargins left="0.7" right="0.7" top="0.75" bottom="0.75" header="0.3" footer="0.3"/>
  <pageSetup paperSize="119" orientation="portrait" r:id="rId1"/>
  <ignoredErrors>
    <ignoredError sqref="D25 D26:D27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7B92-9F3A-40B9-9E20-7D3ADC850EFE}">
  <dimension ref="A1:N32"/>
  <sheetViews>
    <sheetView zoomScaleNormal="100" workbookViewId="0">
      <selection activeCell="F1" sqref="F1:F1048576"/>
    </sheetView>
  </sheetViews>
  <sheetFormatPr baseColWidth="10" defaultRowHeight="12.75" x14ac:dyDescent="0.2"/>
  <cols>
    <col min="1" max="1" width="66.5703125" customWidth="1"/>
    <col min="2" max="3" width="10.5703125" customWidth="1"/>
    <col min="4" max="4" width="14.5703125" customWidth="1"/>
    <col min="5" max="5" width="24.5703125" customWidth="1"/>
    <col min="6" max="6" width="9.7109375" style="142" customWidth="1"/>
    <col min="7" max="7" width="16.42578125" style="9" customWidth="1"/>
    <col min="8" max="8" width="14.5703125" customWidth="1"/>
    <col min="10" max="10" width="14.140625" customWidth="1"/>
  </cols>
  <sheetData>
    <row r="1" spans="1:9" ht="30" customHeight="1" x14ac:dyDescent="0.2">
      <c r="A1" s="246" t="s">
        <v>245</v>
      </c>
      <c r="B1" s="246"/>
      <c r="C1" s="246"/>
      <c r="D1" s="246"/>
      <c r="E1" s="246"/>
      <c r="F1" s="154"/>
      <c r="G1" s="234" t="s">
        <v>240</v>
      </c>
      <c r="H1" s="235"/>
    </row>
    <row r="2" spans="1:9" ht="137.44999999999999" customHeight="1" x14ac:dyDescent="0.2">
      <c r="A2" s="247" t="s">
        <v>174</v>
      </c>
      <c r="B2" s="247"/>
      <c r="C2" s="247"/>
      <c r="D2" s="247"/>
      <c r="E2" s="247"/>
      <c r="G2"/>
      <c r="H2" s="181"/>
    </row>
    <row r="3" spans="1:9" s="56" customFormat="1" ht="30" customHeight="1" x14ac:dyDescent="0.2">
      <c r="A3" s="126" t="s">
        <v>175</v>
      </c>
      <c r="B3" s="126" t="s">
        <v>176</v>
      </c>
      <c r="C3" s="233" t="s">
        <v>190</v>
      </c>
      <c r="D3" s="233"/>
      <c r="E3" s="127" t="s">
        <v>191</v>
      </c>
      <c r="F3" s="142" t="s">
        <v>212</v>
      </c>
      <c r="G3" s="126" t="s">
        <v>239</v>
      </c>
      <c r="H3" s="189">
        <v>0</v>
      </c>
    </row>
    <row r="4" spans="1:9" s="56" customFormat="1" ht="30" customHeight="1" x14ac:dyDescent="0.2">
      <c r="A4" s="141"/>
      <c r="B4" s="130">
        <v>10</v>
      </c>
      <c r="C4" s="248">
        <f>IF(H4&gt;0, H4 / (1 - $H$3), 0)</f>
        <v>10</v>
      </c>
      <c r="D4" s="248"/>
      <c r="E4" s="129">
        <f>C4*B4</f>
        <v>100</v>
      </c>
      <c r="F4" s="142">
        <f>E4/$E$7</f>
        <v>1</v>
      </c>
      <c r="G4" s="128" t="s">
        <v>241</v>
      </c>
      <c r="H4" s="190">
        <v>10</v>
      </c>
    </row>
    <row r="5" spans="1:9" s="56" customFormat="1" ht="30" customHeight="1" x14ac:dyDescent="0.2">
      <c r="A5" s="141"/>
      <c r="B5" s="130">
        <v>0</v>
      </c>
      <c r="C5" s="248">
        <f t="shared" ref="C5:C6" si="0">IF(H5&gt;0, H5 / (1 - $H$3), 0)</f>
        <v>0</v>
      </c>
      <c r="D5" s="248"/>
      <c r="E5" s="129">
        <f>C5*B5</f>
        <v>0</v>
      </c>
      <c r="F5" s="142">
        <f t="shared" ref="F5:F6" si="1">E5/$E$7</f>
        <v>0</v>
      </c>
      <c r="G5" s="128" t="s">
        <v>241</v>
      </c>
      <c r="H5" s="190">
        <v>0</v>
      </c>
    </row>
    <row r="6" spans="1:9" s="56" customFormat="1" ht="30" customHeight="1" x14ac:dyDescent="0.2">
      <c r="A6" s="141"/>
      <c r="B6" s="130">
        <v>0</v>
      </c>
      <c r="C6" s="248">
        <f t="shared" si="0"/>
        <v>0</v>
      </c>
      <c r="D6" s="248"/>
      <c r="E6" s="129">
        <f t="shared" ref="E6" si="2">C6*B6</f>
        <v>0</v>
      </c>
      <c r="F6" s="142">
        <f t="shared" si="1"/>
        <v>0</v>
      </c>
      <c r="G6" s="128" t="s">
        <v>241</v>
      </c>
      <c r="H6" s="190">
        <v>0</v>
      </c>
    </row>
    <row r="7" spans="1:9" s="56" customFormat="1" ht="30" customHeight="1" x14ac:dyDescent="0.2">
      <c r="A7" s="238" t="s">
        <v>193</v>
      </c>
      <c r="B7" s="238"/>
      <c r="C7" s="238"/>
      <c r="D7" s="238"/>
      <c r="E7" s="157">
        <f>SUM(E4:E6)</f>
        <v>100</v>
      </c>
      <c r="F7" s="142">
        <f>E7/$E$16</f>
        <v>5.9701492537313432E-2</v>
      </c>
      <c r="G7" s="126" t="s">
        <v>242</v>
      </c>
      <c r="H7" s="182">
        <f>IF(E7&gt;0, E7 * H3, 0)</f>
        <v>0</v>
      </c>
      <c r="I7" s="153"/>
    </row>
    <row r="8" spans="1:9" s="56" customFormat="1" x14ac:dyDescent="0.2">
      <c r="A8" s="247" t="s">
        <v>184</v>
      </c>
      <c r="B8" s="249" t="s">
        <v>243</v>
      </c>
      <c r="C8" s="239"/>
      <c r="D8" s="135" t="s">
        <v>178</v>
      </c>
      <c r="E8" s="188">
        <v>1000</v>
      </c>
      <c r="F8" s="142">
        <f t="shared" ref="F8:F15" si="3">E8/$E$16</f>
        <v>0.59701492537313428</v>
      </c>
      <c r="G8" s="9"/>
    </row>
    <row r="9" spans="1:9" s="56" customFormat="1" x14ac:dyDescent="0.2">
      <c r="A9" s="247"/>
      <c r="B9" s="239"/>
      <c r="C9" s="239"/>
      <c r="D9" s="135" t="s">
        <v>177</v>
      </c>
      <c r="E9" s="188">
        <v>0</v>
      </c>
      <c r="F9" s="142">
        <f t="shared" si="3"/>
        <v>0</v>
      </c>
      <c r="G9" s="9"/>
    </row>
    <row r="10" spans="1:9" s="56" customFormat="1" x14ac:dyDescent="0.2">
      <c r="A10" s="236" t="s">
        <v>181</v>
      </c>
      <c r="B10" s="236"/>
      <c r="C10" s="236"/>
      <c r="D10" s="236"/>
      <c r="E10" s="158">
        <v>75</v>
      </c>
      <c r="F10" s="142">
        <f t="shared" si="3"/>
        <v>4.4776119402985072E-2</v>
      </c>
      <c r="G10" s="9"/>
    </row>
    <row r="11" spans="1:9" s="56" customFormat="1" x14ac:dyDescent="0.2">
      <c r="A11" s="236" t="s">
        <v>180</v>
      </c>
      <c r="B11" s="236"/>
      <c r="C11" s="236"/>
      <c r="D11" s="131">
        <v>0</v>
      </c>
      <c r="E11" s="158">
        <v>0</v>
      </c>
      <c r="F11" s="142">
        <f t="shared" si="3"/>
        <v>0</v>
      </c>
      <c r="G11" s="9"/>
    </row>
    <row r="12" spans="1:9" s="56" customFormat="1" x14ac:dyDescent="0.2">
      <c r="A12" s="236" t="s">
        <v>179</v>
      </c>
      <c r="B12" s="236"/>
      <c r="C12" s="236"/>
      <c r="D12" s="131">
        <v>0</v>
      </c>
      <c r="E12" s="158">
        <v>0</v>
      </c>
      <c r="F12" s="142">
        <f t="shared" si="3"/>
        <v>0</v>
      </c>
      <c r="G12" s="9"/>
    </row>
    <row r="13" spans="1:9" s="56" customFormat="1" x14ac:dyDescent="0.2">
      <c r="A13" s="236" t="s">
        <v>183</v>
      </c>
      <c r="B13" s="236"/>
      <c r="C13" s="236"/>
      <c r="D13" s="236"/>
      <c r="E13" s="158">
        <v>500</v>
      </c>
      <c r="F13" s="142">
        <f t="shared" si="3"/>
        <v>0.29850746268656714</v>
      </c>
      <c r="G13" s="9"/>
    </row>
    <row r="14" spans="1:9" s="56" customFormat="1" x14ac:dyDescent="0.2">
      <c r="A14" s="236" t="s">
        <v>182</v>
      </c>
      <c r="B14" s="236"/>
      <c r="C14" s="236"/>
      <c r="D14" s="236"/>
      <c r="E14" s="158">
        <v>0</v>
      </c>
      <c r="F14" s="142">
        <f t="shared" si="3"/>
        <v>0</v>
      </c>
      <c r="G14" s="9"/>
    </row>
    <row r="15" spans="1:9" s="56" customFormat="1" x14ac:dyDescent="0.2">
      <c r="A15" s="236" t="s">
        <v>186</v>
      </c>
      <c r="B15" s="236"/>
      <c r="C15" s="236"/>
      <c r="D15" s="236"/>
      <c r="E15" s="158">
        <v>0</v>
      </c>
      <c r="F15" s="142">
        <f t="shared" si="3"/>
        <v>0</v>
      </c>
      <c r="G15" s="9"/>
    </row>
    <row r="16" spans="1:9" s="56" customFormat="1" ht="30" customHeight="1" x14ac:dyDescent="0.2">
      <c r="A16" s="136"/>
      <c r="B16" s="241" t="s">
        <v>192</v>
      </c>
      <c r="C16" s="241"/>
      <c r="D16" s="241"/>
      <c r="E16" s="157">
        <f>SUM(E7:E15)</f>
        <v>1675</v>
      </c>
      <c r="F16" s="142">
        <f>SUM(F7:F15)</f>
        <v>0.99999999999999989</v>
      </c>
      <c r="G16" s="9"/>
    </row>
    <row r="18" spans="1:14" ht="30" customHeight="1" x14ac:dyDescent="0.2">
      <c r="A18" s="238" t="s">
        <v>211</v>
      </c>
      <c r="B18" s="238"/>
      <c r="C18" s="238"/>
      <c r="D18" s="238"/>
      <c r="E18" s="159">
        <f>SUM(E8:E15)</f>
        <v>1575</v>
      </c>
      <c r="F18" s="185">
        <f>E18/E16</f>
        <v>0.94029850746268662</v>
      </c>
      <c r="G18" s="143"/>
    </row>
    <row r="21" spans="1:14" x14ac:dyDescent="0.2">
      <c r="A21" s="156" t="s">
        <v>176</v>
      </c>
      <c r="B21" s="56">
        <f>+SUM(B4:$B$7)</f>
        <v>10</v>
      </c>
      <c r="C21" s="155">
        <f>+((E16-E28)-E7)/B21</f>
        <v>124</v>
      </c>
      <c r="D21" s="150" t="s">
        <v>213</v>
      </c>
      <c r="E21" s="149">
        <f>+E29-E16</f>
        <v>0</v>
      </c>
      <c r="F21" s="142">
        <f>E21/$E$16</f>
        <v>0</v>
      </c>
    </row>
    <row r="22" spans="1:14" ht="30" customHeight="1" x14ac:dyDescent="0.2">
      <c r="A22" s="233" t="str">
        <f>A1</f>
        <v>15970 A - PORTAPRECIO EN ACRILICO</v>
      </c>
      <c r="B22" s="233"/>
      <c r="C22" s="233"/>
      <c r="D22" s="233"/>
      <c r="E22" s="233"/>
    </row>
    <row r="23" spans="1:14" ht="137.44999999999999" customHeight="1" x14ac:dyDescent="0.2">
      <c r="A23" s="247" t="s">
        <v>174</v>
      </c>
      <c r="B23" s="247"/>
      <c r="C23" s="247"/>
      <c r="D23" s="247"/>
      <c r="E23" s="247"/>
    </row>
    <row r="24" spans="1:14" s="56" customFormat="1" ht="30" customHeight="1" x14ac:dyDescent="0.2">
      <c r="A24" s="126" t="s">
        <v>175</v>
      </c>
      <c r="B24" s="126" t="s">
        <v>176</v>
      </c>
      <c r="C24" s="233" t="s">
        <v>190</v>
      </c>
      <c r="D24" s="233"/>
      <c r="E24" s="127" t="s">
        <v>191</v>
      </c>
      <c r="F24" s="154"/>
      <c r="G24" s="146"/>
      <c r="H24" s="147"/>
      <c r="J24" s="153"/>
    </row>
    <row r="25" spans="1:14" s="56" customFormat="1" ht="30" customHeight="1" x14ac:dyDescent="0.2">
      <c r="A25" s="144"/>
      <c r="B25" s="128">
        <f>+B4</f>
        <v>10</v>
      </c>
      <c r="C25" s="250">
        <f>IF(B25&gt;0, ROUND(C4+$C$21, 0), 0)</f>
        <v>134</v>
      </c>
      <c r="D25" s="250"/>
      <c r="E25" s="129">
        <f>C25*B25</f>
        <v>1340</v>
      </c>
      <c r="F25" s="142">
        <f>E25/$E$16</f>
        <v>0.8</v>
      </c>
      <c r="G25" s="9"/>
      <c r="H25" s="148"/>
      <c r="K25" s="151"/>
      <c r="M25" s="152"/>
      <c r="N25" s="151"/>
    </row>
    <row r="26" spans="1:14" s="56" customFormat="1" ht="30" customHeight="1" x14ac:dyDescent="0.2">
      <c r="A26" s="144"/>
      <c r="B26" s="128">
        <f>+B5</f>
        <v>0</v>
      </c>
      <c r="C26" s="250">
        <f t="shared" ref="C26:C27" si="4">IF(B26&gt;0, ROUND(C5+$C$21, 0), 0)</f>
        <v>0</v>
      </c>
      <c r="D26" s="250"/>
      <c r="E26" s="129">
        <f t="shared" ref="E26:E27" si="5">C26*B26</f>
        <v>0</v>
      </c>
      <c r="F26" s="142">
        <f>E26/$E$16</f>
        <v>0</v>
      </c>
      <c r="G26" s="9"/>
      <c r="H26" s="148"/>
      <c r="K26" s="151"/>
      <c r="M26" s="152"/>
      <c r="N26" s="151"/>
    </row>
    <row r="27" spans="1:14" s="56" customFormat="1" ht="30" customHeight="1" x14ac:dyDescent="0.2">
      <c r="A27" s="144"/>
      <c r="B27" s="128">
        <f>+B6</f>
        <v>0</v>
      </c>
      <c r="C27" s="250">
        <f t="shared" si="4"/>
        <v>0</v>
      </c>
      <c r="D27" s="250"/>
      <c r="E27" s="129">
        <f t="shared" si="5"/>
        <v>0</v>
      </c>
      <c r="F27" s="142">
        <f>E27/$E$16</f>
        <v>0</v>
      </c>
      <c r="G27" s="9"/>
      <c r="H27" s="148"/>
      <c r="K27" s="151"/>
      <c r="M27" s="152"/>
      <c r="N27" s="151"/>
    </row>
    <row r="28" spans="1:14" s="56" customFormat="1" ht="30" customHeight="1" x14ac:dyDescent="0.2">
      <c r="A28" s="144" t="s">
        <v>214</v>
      </c>
      <c r="B28" s="128">
        <v>1</v>
      </c>
      <c r="C28" s="250">
        <f>ROUND(E16*F28,0)</f>
        <v>335</v>
      </c>
      <c r="D28" s="250"/>
      <c r="E28" s="129">
        <f>C28*B28</f>
        <v>335</v>
      </c>
      <c r="F28" s="187">
        <v>0.2</v>
      </c>
      <c r="G28" s="145"/>
    </row>
    <row r="29" spans="1:14" s="56" customFormat="1" ht="30" customHeight="1" x14ac:dyDescent="0.2">
      <c r="A29" s="238" t="s">
        <v>215</v>
      </c>
      <c r="B29" s="238"/>
      <c r="C29" s="238"/>
      <c r="D29" s="238"/>
      <c r="E29" s="157">
        <f>SUM(E25:E28)</f>
        <v>1675</v>
      </c>
      <c r="F29" s="142">
        <f>E29/$E$16</f>
        <v>1</v>
      </c>
      <c r="G29" s="9"/>
    </row>
    <row r="30" spans="1:14" x14ac:dyDescent="0.2">
      <c r="A30" s="242"/>
      <c r="B30" s="242"/>
      <c r="C30" s="242"/>
      <c r="D30" s="242"/>
      <c r="E30" s="242"/>
    </row>
    <row r="31" spans="1:14" ht="30" customHeight="1" x14ac:dyDescent="0.2">
      <c r="A31" s="239" t="s">
        <v>225</v>
      </c>
      <c r="B31" s="239"/>
      <c r="C31" s="239"/>
      <c r="D31" s="239"/>
      <c r="E31" s="239"/>
      <c r="F31" s="167"/>
    </row>
    <row r="32" spans="1:14" x14ac:dyDescent="0.2">
      <c r="A32" s="167"/>
      <c r="B32" s="167"/>
      <c r="C32" s="167"/>
      <c r="D32" s="167"/>
      <c r="E32" s="167"/>
      <c r="F32" s="167"/>
    </row>
  </sheetData>
  <mergeCells count="28">
    <mergeCell ref="A31:E31"/>
    <mergeCell ref="A30:E30"/>
    <mergeCell ref="A18:D18"/>
    <mergeCell ref="A12:C12"/>
    <mergeCell ref="A13:D13"/>
    <mergeCell ref="A14:D14"/>
    <mergeCell ref="A15:D15"/>
    <mergeCell ref="B16:D16"/>
    <mergeCell ref="A29:D29"/>
    <mergeCell ref="C26:D26"/>
    <mergeCell ref="C28:D28"/>
    <mergeCell ref="C27:D27"/>
    <mergeCell ref="A22:E22"/>
    <mergeCell ref="A23:E23"/>
    <mergeCell ref="C24:D24"/>
    <mergeCell ref="C25:D25"/>
    <mergeCell ref="A11:C11"/>
    <mergeCell ref="C5:D5"/>
    <mergeCell ref="A7:D7"/>
    <mergeCell ref="A8:A9"/>
    <mergeCell ref="B8:C9"/>
    <mergeCell ref="A10:D10"/>
    <mergeCell ref="C6:D6"/>
    <mergeCell ref="G1:H1"/>
    <mergeCell ref="A1:E1"/>
    <mergeCell ref="A2:E2"/>
    <mergeCell ref="C3:D3"/>
    <mergeCell ref="C4:D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74DC-603A-426E-9A35-CBBA7EF4DFB8}">
  <dimension ref="A1:F13"/>
  <sheetViews>
    <sheetView workbookViewId="0">
      <selection activeCell="H9" sqref="H9"/>
    </sheetView>
  </sheetViews>
  <sheetFormatPr baseColWidth="10" defaultRowHeight="12.75" x14ac:dyDescent="0.2"/>
  <cols>
    <col min="1" max="2" width="14.5703125" customWidth="1"/>
    <col min="3" max="3" width="32.140625" customWidth="1"/>
    <col min="5" max="5" width="16.5703125" customWidth="1"/>
    <col min="6" max="6" width="18" bestFit="1" customWidth="1"/>
    <col min="7" max="7" width="9.7109375" customWidth="1"/>
  </cols>
  <sheetData>
    <row r="1" spans="1:6" ht="30" customHeight="1" x14ac:dyDescent="0.2">
      <c r="A1" s="233" t="s">
        <v>198</v>
      </c>
      <c r="B1" s="233"/>
      <c r="C1" s="233"/>
      <c r="D1" s="233"/>
      <c r="E1" s="233"/>
      <c r="F1" s="233"/>
    </row>
    <row r="2" spans="1:6" ht="30" customHeight="1" x14ac:dyDescent="0.2">
      <c r="A2" s="126" t="s">
        <v>218</v>
      </c>
      <c r="B2" s="137" t="s">
        <v>219</v>
      </c>
      <c r="C2" s="126" t="s">
        <v>129</v>
      </c>
      <c r="D2" s="126" t="s">
        <v>130</v>
      </c>
      <c r="E2" s="137" t="s">
        <v>194</v>
      </c>
      <c r="F2" s="137" t="s">
        <v>220</v>
      </c>
    </row>
    <row r="3" spans="1:6" ht="80.099999999999994" customHeight="1" x14ac:dyDescent="0.2">
      <c r="A3" s="133"/>
      <c r="B3" s="133" t="s">
        <v>197</v>
      </c>
      <c r="C3" s="141" t="s">
        <v>206</v>
      </c>
      <c r="D3" s="130">
        <v>6</v>
      </c>
      <c r="E3" s="134">
        <v>10000</v>
      </c>
      <c r="F3" s="160">
        <f>E3*D3</f>
        <v>60000</v>
      </c>
    </row>
    <row r="4" spans="1:6" ht="80.099999999999994" customHeight="1" x14ac:dyDescent="0.2">
      <c r="A4" s="133"/>
      <c r="B4" s="133"/>
      <c r="C4" s="133"/>
      <c r="D4" s="130">
        <v>1</v>
      </c>
      <c r="E4" s="134">
        <v>0</v>
      </c>
      <c r="F4" s="160">
        <f t="shared" ref="F4:F5" si="0">E4*D4</f>
        <v>0</v>
      </c>
    </row>
    <row r="5" spans="1:6" ht="80.099999999999994" customHeight="1" x14ac:dyDescent="0.2">
      <c r="A5" s="133"/>
      <c r="B5" s="133"/>
      <c r="C5" s="133"/>
      <c r="D5" s="130">
        <v>1</v>
      </c>
      <c r="E5" s="134">
        <v>0</v>
      </c>
      <c r="F5" s="160">
        <f t="shared" si="0"/>
        <v>0</v>
      </c>
    </row>
    <row r="6" spans="1:6" s="56" customFormat="1" ht="30" customHeight="1" x14ac:dyDescent="0.2">
      <c r="A6" s="251" t="s">
        <v>246</v>
      </c>
      <c r="B6" s="251"/>
      <c r="C6" s="251"/>
      <c r="D6" s="251"/>
      <c r="E6" s="251"/>
      <c r="F6" s="159">
        <f>SUM(F3:F5)</f>
        <v>60000</v>
      </c>
    </row>
    <row r="7" spans="1:6" ht="9.6" customHeight="1" x14ac:dyDescent="0.2">
      <c r="A7" s="242"/>
      <c r="B7" s="242"/>
      <c r="C7" s="242"/>
      <c r="D7" s="242"/>
      <c r="E7" s="242"/>
      <c r="F7" s="242"/>
    </row>
    <row r="8" spans="1:6" ht="30" customHeight="1" x14ac:dyDescent="0.2">
      <c r="A8" s="233" t="s">
        <v>221</v>
      </c>
      <c r="B8" s="233"/>
      <c r="C8" s="233"/>
      <c r="D8" s="126" t="s">
        <v>130</v>
      </c>
      <c r="E8" s="137" t="s">
        <v>194</v>
      </c>
      <c r="F8" s="137" t="s">
        <v>220</v>
      </c>
    </row>
    <row r="9" spans="1:6" ht="30" customHeight="1" x14ac:dyDescent="0.2">
      <c r="A9" s="252" t="s">
        <v>170</v>
      </c>
      <c r="B9" s="252"/>
      <c r="C9" s="252"/>
      <c r="D9" s="165">
        <v>4</v>
      </c>
      <c r="E9" s="166">
        <v>150000</v>
      </c>
      <c r="F9" s="160">
        <f t="shared" ref="F9:F10" si="1">E9*D9</f>
        <v>600000</v>
      </c>
    </row>
    <row r="10" spans="1:6" ht="30" customHeight="1" x14ac:dyDescent="0.2">
      <c r="A10" s="252" t="s">
        <v>170</v>
      </c>
      <c r="B10" s="252"/>
      <c r="C10" s="252"/>
      <c r="D10" s="165">
        <v>2</v>
      </c>
      <c r="E10" s="166">
        <v>400000</v>
      </c>
      <c r="F10" s="160">
        <f t="shared" si="1"/>
        <v>800000</v>
      </c>
    </row>
    <row r="11" spans="1:6" ht="30" customHeight="1" x14ac:dyDescent="0.2">
      <c r="A11" s="253" t="s">
        <v>247</v>
      </c>
      <c r="B11" s="253"/>
      <c r="C11" s="253"/>
      <c r="D11" s="253"/>
      <c r="E11" s="253"/>
      <c r="F11" s="159">
        <f>SUM(F9:F10)</f>
        <v>1400000</v>
      </c>
    </row>
    <row r="12" spans="1:6" ht="9.9499999999999993" customHeight="1" x14ac:dyDescent="0.2">
      <c r="A12" s="254"/>
      <c r="B12" s="254"/>
      <c r="C12" s="254"/>
      <c r="D12" s="254"/>
      <c r="E12" s="254"/>
      <c r="F12" s="254"/>
    </row>
    <row r="13" spans="1:6" ht="30" customHeight="1" x14ac:dyDescent="0.2">
      <c r="A13" s="253" t="s">
        <v>244</v>
      </c>
      <c r="B13" s="253"/>
      <c r="C13" s="253"/>
      <c r="D13" s="253"/>
      <c r="E13" s="253"/>
      <c r="F13" s="159">
        <f>F11+F6</f>
        <v>1460000</v>
      </c>
    </row>
  </sheetData>
  <mergeCells count="9">
    <mergeCell ref="A6:E6"/>
    <mergeCell ref="A1:F1"/>
    <mergeCell ref="A8:C8"/>
    <mergeCell ref="A9:C9"/>
    <mergeCell ref="A13:E13"/>
    <mergeCell ref="A12:F12"/>
    <mergeCell ref="A11:E11"/>
    <mergeCell ref="A10:C10"/>
    <mergeCell ref="A7:F7"/>
  </mergeCells>
  <pageMargins left="0.7" right="0.7" top="0.75" bottom="0.75" header="0.3" footer="0.3"/>
  <pageSetup paperSize="11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1F1D-0E90-4BB1-BA39-F3A04B2F69E0}">
  <dimension ref="A1:G15"/>
  <sheetViews>
    <sheetView workbookViewId="0">
      <selection activeCell="K10" sqref="K10"/>
    </sheetView>
  </sheetViews>
  <sheetFormatPr baseColWidth="10" defaultRowHeight="12.75" x14ac:dyDescent="0.2"/>
  <cols>
    <col min="1" max="3" width="22.5703125" customWidth="1"/>
    <col min="4" max="5" width="10.5703125" customWidth="1"/>
    <col min="6" max="6" width="14.5703125" customWidth="1"/>
    <col min="7" max="7" width="24.5703125" customWidth="1"/>
    <col min="8" max="8" width="9.7109375" customWidth="1"/>
  </cols>
  <sheetData>
    <row r="1" spans="1:7" ht="30" customHeight="1" x14ac:dyDescent="0.2">
      <c r="A1" s="233" t="s">
        <v>245</v>
      </c>
      <c r="B1" s="233"/>
      <c r="C1" s="233"/>
      <c r="D1" s="233"/>
      <c r="E1" s="233"/>
      <c r="F1" s="233"/>
      <c r="G1" s="233"/>
    </row>
    <row r="2" spans="1:7" ht="87" customHeight="1" x14ac:dyDescent="0.2">
      <c r="A2" s="239" t="s">
        <v>173</v>
      </c>
      <c r="B2" s="239"/>
      <c r="C2" s="239"/>
      <c r="D2" s="239"/>
      <c r="E2" s="239"/>
      <c r="F2" s="239"/>
      <c r="G2" s="239"/>
    </row>
    <row r="3" spans="1:7" s="56" customFormat="1" ht="30" customHeight="1" x14ac:dyDescent="0.2">
      <c r="A3" s="233" t="s">
        <v>129</v>
      </c>
      <c r="B3" s="233"/>
      <c r="C3" s="233"/>
      <c r="D3" s="126" t="s">
        <v>130</v>
      </c>
      <c r="E3" s="233" t="s">
        <v>194</v>
      </c>
      <c r="F3" s="233"/>
      <c r="G3" s="127" t="s">
        <v>195</v>
      </c>
    </row>
    <row r="4" spans="1:7" s="56" customFormat="1" ht="30" customHeight="1" x14ac:dyDescent="0.2">
      <c r="A4" s="255"/>
      <c r="B4" s="255"/>
      <c r="C4" s="255"/>
      <c r="D4" s="128">
        <v>100</v>
      </c>
      <c r="E4" s="250">
        <v>720</v>
      </c>
      <c r="F4" s="250"/>
      <c r="G4" s="129">
        <f>E4*D4</f>
        <v>72000</v>
      </c>
    </row>
    <row r="5" spans="1:7" s="56" customFormat="1" ht="30" customHeight="1" x14ac:dyDescent="0.2">
      <c r="A5" s="255"/>
      <c r="B5" s="255"/>
      <c r="C5" s="255"/>
      <c r="D5" s="128">
        <v>1</v>
      </c>
      <c r="E5" s="250"/>
      <c r="F5" s="250"/>
      <c r="G5" s="129">
        <f>E5*D5</f>
        <v>0</v>
      </c>
    </row>
    <row r="6" spans="1:7" s="56" customFormat="1" ht="30" customHeight="1" x14ac:dyDescent="0.2">
      <c r="A6" s="255"/>
      <c r="B6" s="255"/>
      <c r="C6" s="255"/>
      <c r="D6" s="128">
        <v>1</v>
      </c>
      <c r="E6" s="250"/>
      <c r="F6" s="250"/>
      <c r="G6" s="129">
        <f>E6*D6</f>
        <v>0</v>
      </c>
    </row>
    <row r="7" spans="1:7" s="56" customFormat="1" ht="30" customHeight="1" x14ac:dyDescent="0.2">
      <c r="A7" s="255"/>
      <c r="B7" s="255"/>
      <c r="C7" s="255"/>
      <c r="D7" s="128">
        <v>1</v>
      </c>
      <c r="E7" s="250"/>
      <c r="F7" s="250"/>
      <c r="G7" s="129">
        <f>E7*D7</f>
        <v>0</v>
      </c>
    </row>
    <row r="8" spans="1:7" s="56" customFormat="1" ht="30" customHeight="1" x14ac:dyDescent="0.2">
      <c r="A8" s="238" t="s">
        <v>246</v>
      </c>
      <c r="B8" s="238"/>
      <c r="C8" s="238"/>
      <c r="D8" s="238"/>
      <c r="E8" s="238"/>
      <c r="F8" s="238"/>
      <c r="G8" s="157">
        <f>SUM(G4:G7)</f>
        <v>72000</v>
      </c>
    </row>
    <row r="9" spans="1:7" s="56" customFormat="1" ht="9.9499999999999993" customHeight="1" x14ac:dyDescent="0.2">
      <c r="A9" s="239"/>
      <c r="B9" s="239"/>
      <c r="C9" s="239"/>
      <c r="D9" s="239"/>
      <c r="E9" s="239"/>
      <c r="F9" s="239"/>
      <c r="G9" s="239"/>
    </row>
    <row r="10" spans="1:7" ht="30" customHeight="1" x14ac:dyDescent="0.2">
      <c r="A10" s="233" t="s">
        <v>217</v>
      </c>
      <c r="B10" s="233"/>
      <c r="C10" s="233"/>
      <c r="D10" s="126" t="s">
        <v>130</v>
      </c>
      <c r="E10" s="233" t="s">
        <v>194</v>
      </c>
      <c r="F10" s="233"/>
      <c r="G10" s="127" t="s">
        <v>195</v>
      </c>
    </row>
    <row r="11" spans="1:7" ht="30" customHeight="1" x14ac:dyDescent="0.2">
      <c r="A11" s="255" t="s">
        <v>170</v>
      </c>
      <c r="B11" s="255"/>
      <c r="C11" s="255"/>
      <c r="D11" s="128">
        <v>1</v>
      </c>
      <c r="E11" s="250">
        <v>40000</v>
      </c>
      <c r="F11" s="250"/>
      <c r="G11" s="129">
        <f>E11*D11</f>
        <v>40000</v>
      </c>
    </row>
    <row r="12" spans="1:7" ht="30" customHeight="1" x14ac:dyDescent="0.2">
      <c r="A12" s="255" t="s">
        <v>216</v>
      </c>
      <c r="B12" s="255"/>
      <c r="C12" s="255"/>
      <c r="D12" s="128">
        <v>1</v>
      </c>
      <c r="E12" s="250">
        <v>50000</v>
      </c>
      <c r="F12" s="250"/>
      <c r="G12" s="129">
        <f>E12*D12</f>
        <v>50000</v>
      </c>
    </row>
    <row r="13" spans="1:7" ht="30" customHeight="1" x14ac:dyDescent="0.2">
      <c r="A13" s="238" t="s">
        <v>246</v>
      </c>
      <c r="B13" s="238"/>
      <c r="C13" s="238"/>
      <c r="D13" s="238"/>
      <c r="E13" s="238"/>
      <c r="F13" s="238"/>
      <c r="G13" s="159">
        <f>SUM(G11:G12)+G8</f>
        <v>162000</v>
      </c>
    </row>
    <row r="14" spans="1:7" ht="9.9499999999999993" customHeight="1" x14ac:dyDescent="0.2">
      <c r="A14" s="242"/>
      <c r="B14" s="242"/>
      <c r="C14" s="242"/>
      <c r="D14" s="242"/>
      <c r="E14" s="242"/>
      <c r="F14" s="242"/>
      <c r="G14" s="242"/>
    </row>
    <row r="15" spans="1:7" ht="30" customHeight="1" x14ac:dyDescent="0.2">
      <c r="A15" s="238" t="s">
        <v>244</v>
      </c>
      <c r="B15" s="238"/>
      <c r="C15" s="238"/>
      <c r="D15" s="238"/>
      <c r="E15" s="238"/>
      <c r="F15" s="238"/>
      <c r="G15" s="159">
        <f>G13+G8</f>
        <v>234000</v>
      </c>
    </row>
  </sheetData>
  <mergeCells count="23">
    <mergeCell ref="A13:F13"/>
    <mergeCell ref="E10:F10"/>
    <mergeCell ref="A9:G9"/>
    <mergeCell ref="A11:C11"/>
    <mergeCell ref="E11:F11"/>
    <mergeCell ref="A12:C12"/>
    <mergeCell ref="E12:F12"/>
    <mergeCell ref="A15:F15"/>
    <mergeCell ref="A14:G14"/>
    <mergeCell ref="A1:G1"/>
    <mergeCell ref="A2:G2"/>
    <mergeCell ref="A3:C3"/>
    <mergeCell ref="E3:F3"/>
    <mergeCell ref="A4:C4"/>
    <mergeCell ref="E4:F4"/>
    <mergeCell ref="A5:C5"/>
    <mergeCell ref="E5:F5"/>
    <mergeCell ref="A6:C6"/>
    <mergeCell ref="E6:F6"/>
    <mergeCell ref="A7:C7"/>
    <mergeCell ref="E7:F7"/>
    <mergeCell ref="A8:F8"/>
    <mergeCell ref="A10:C1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B77E-F1E8-41D3-9DAD-7AA4AEAB27A8}">
  <dimension ref="A1:P66"/>
  <sheetViews>
    <sheetView tabSelected="1" zoomScale="85" zoomScaleNormal="85" workbookViewId="0">
      <selection activeCell="A3" sqref="A3:A4"/>
    </sheetView>
  </sheetViews>
  <sheetFormatPr baseColWidth="10" defaultRowHeight="12.75" x14ac:dyDescent="0.2"/>
  <cols>
    <col min="1" max="1" width="10.5703125" customWidth="1"/>
    <col min="2" max="2" width="21.42578125" customWidth="1"/>
    <col min="3" max="3" width="17" customWidth="1"/>
    <col min="4" max="4" width="8.5703125" style="101" customWidth="1"/>
    <col min="5" max="9" width="7.28515625" style="101" customWidth="1"/>
    <col min="10" max="10" width="7.28515625" style="1" customWidth="1"/>
    <col min="11" max="11" width="14.7109375" style="1" customWidth="1"/>
    <col min="12" max="13" width="14.7109375" customWidth="1"/>
    <col min="14" max="15" width="13.28515625" bestFit="1" customWidth="1"/>
    <col min="16" max="16" width="14.140625" bestFit="1" customWidth="1"/>
  </cols>
  <sheetData>
    <row r="1" spans="1:14" s="2" customFormat="1" ht="9.6" customHeight="1" x14ac:dyDescent="0.2">
      <c r="A1" s="221" t="s">
        <v>249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3"/>
    </row>
    <row r="2" spans="1:14" s="2" customFormat="1" ht="9.6" customHeight="1" x14ac:dyDescent="0.2">
      <c r="A2" s="6" t="s">
        <v>4</v>
      </c>
      <c r="B2" s="2" t="s">
        <v>5</v>
      </c>
      <c r="C2" s="230"/>
      <c r="D2" s="230"/>
      <c r="E2" s="230"/>
      <c r="F2" s="230"/>
      <c r="G2" s="231" t="s">
        <v>9</v>
      </c>
      <c r="H2" s="231"/>
      <c r="I2" s="231"/>
      <c r="J2" s="231"/>
      <c r="K2" s="230"/>
      <c r="L2" s="230"/>
      <c r="M2" s="230"/>
      <c r="N2" s="4"/>
    </row>
    <row r="3" spans="1:14" s="2" customFormat="1" ht="9.6" customHeight="1" x14ac:dyDescent="0.2">
      <c r="A3" s="232" t="s">
        <v>210</v>
      </c>
      <c r="B3" s="2" t="s">
        <v>3</v>
      </c>
      <c r="C3" s="230"/>
      <c r="D3" s="230"/>
      <c r="E3" s="230"/>
      <c r="F3" s="230"/>
      <c r="G3" s="231" t="s">
        <v>6</v>
      </c>
      <c r="H3" s="231"/>
      <c r="I3" s="231"/>
      <c r="J3" s="231"/>
      <c r="K3" s="230"/>
      <c r="L3" s="230"/>
      <c r="M3" s="230"/>
      <c r="N3" s="4"/>
    </row>
    <row r="4" spans="1:14" s="2" customFormat="1" ht="9.6" customHeight="1" x14ac:dyDescent="0.2">
      <c r="A4" s="232"/>
      <c r="B4" s="2" t="s">
        <v>138</v>
      </c>
      <c r="C4" s="230"/>
      <c r="D4" s="230"/>
      <c r="E4" s="230"/>
      <c r="F4" s="230"/>
      <c r="G4" s="231" t="s">
        <v>7</v>
      </c>
      <c r="H4" s="231"/>
      <c r="I4" s="231"/>
      <c r="J4" s="231"/>
      <c r="K4" s="224">
        <v>46023</v>
      </c>
      <c r="L4" s="224"/>
      <c r="M4" s="224"/>
      <c r="N4" s="5"/>
    </row>
    <row r="5" spans="1:14" s="2" customFormat="1" ht="9.6" customHeight="1" x14ac:dyDescent="0.2">
      <c r="A5" s="221" t="s">
        <v>238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3"/>
    </row>
    <row r="6" spans="1:14" s="2" customFormat="1" ht="9.6" customHeight="1" x14ac:dyDescent="0.2">
      <c r="A6" s="225" t="s">
        <v>0</v>
      </c>
      <c r="B6" s="225"/>
      <c r="C6" s="225"/>
      <c r="D6" s="225" t="s">
        <v>252</v>
      </c>
      <c r="E6" s="226" t="s">
        <v>10</v>
      </c>
      <c r="F6" s="226"/>
      <c r="G6" s="226"/>
      <c r="H6" s="226"/>
      <c r="I6" s="226"/>
      <c r="J6" s="226"/>
      <c r="K6" s="226" t="s">
        <v>10</v>
      </c>
      <c r="L6" s="226"/>
      <c r="M6" s="226"/>
      <c r="N6" s="3"/>
    </row>
    <row r="7" spans="1:14" s="6" customFormat="1" ht="9.6" customHeight="1" x14ac:dyDescent="0.2">
      <c r="A7" s="225"/>
      <c r="B7" s="225"/>
      <c r="C7" s="225"/>
      <c r="D7" s="225"/>
      <c r="E7" s="227">
        <v>1</v>
      </c>
      <c r="F7" s="227"/>
      <c r="G7" s="228">
        <v>1</v>
      </c>
      <c r="H7" s="228"/>
      <c r="I7" s="228">
        <v>1</v>
      </c>
      <c r="J7" s="228"/>
      <c r="K7" s="170">
        <f>+E7</f>
        <v>1</v>
      </c>
      <c r="L7" s="170">
        <f>+G7</f>
        <v>1</v>
      </c>
      <c r="M7" s="170">
        <f>+I7</f>
        <v>1</v>
      </c>
    </row>
    <row r="8" spans="1:14" s="7" customFormat="1" ht="9.6" customHeight="1" x14ac:dyDescent="0.2">
      <c r="A8" s="225"/>
      <c r="B8" s="225"/>
      <c r="C8" s="225"/>
      <c r="D8" s="225"/>
      <c r="E8" s="229" t="s">
        <v>1</v>
      </c>
      <c r="F8" s="229"/>
      <c r="G8" s="229"/>
      <c r="H8" s="229"/>
      <c r="I8" s="229"/>
      <c r="J8" s="229"/>
      <c r="K8" s="223" t="s">
        <v>2</v>
      </c>
      <c r="L8" s="223"/>
      <c r="M8" s="223"/>
    </row>
    <row r="9" spans="1:14" s="2" customFormat="1" ht="9.6" customHeight="1" x14ac:dyDescent="0.2">
      <c r="A9" s="221" t="s">
        <v>237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</row>
    <row r="10" spans="1:14" s="2" customFormat="1" ht="9.6" customHeight="1" x14ac:dyDescent="0.2">
      <c r="A10" s="222"/>
      <c r="B10" s="222"/>
      <c r="C10" s="222"/>
      <c r="D10" s="87">
        <v>1</v>
      </c>
      <c r="E10" s="219">
        <v>0</v>
      </c>
      <c r="F10" s="219"/>
      <c r="G10" s="219">
        <v>0</v>
      </c>
      <c r="H10" s="219"/>
      <c r="I10" s="219">
        <v>0</v>
      </c>
      <c r="J10" s="219"/>
      <c r="K10" s="172">
        <f t="shared" ref="K10:K32" si="0">E10*D10</f>
        <v>0</v>
      </c>
      <c r="L10" s="172">
        <f t="shared" ref="L10:L33" si="1">G10*D10</f>
        <v>0</v>
      </c>
      <c r="M10" s="172">
        <f t="shared" ref="M10:M33" si="2">I10*D10</f>
        <v>0</v>
      </c>
    </row>
    <row r="11" spans="1:14" s="2" customFormat="1" ht="9.6" customHeight="1" x14ac:dyDescent="0.2">
      <c r="A11" s="222"/>
      <c r="B11" s="222"/>
      <c r="C11" s="222"/>
      <c r="D11" s="87"/>
      <c r="E11" s="219"/>
      <c r="F11" s="219"/>
      <c r="G11" s="219"/>
      <c r="H11" s="219"/>
      <c r="I11" s="219"/>
      <c r="J11" s="219"/>
      <c r="K11" s="172">
        <f t="shared" si="0"/>
        <v>0</v>
      </c>
      <c r="L11" s="172">
        <f t="shared" si="1"/>
        <v>0</v>
      </c>
      <c r="M11" s="172">
        <f t="shared" si="2"/>
        <v>0</v>
      </c>
    </row>
    <row r="12" spans="1:14" s="2" customFormat="1" ht="9.6" customHeight="1" x14ac:dyDescent="0.2">
      <c r="A12" s="222"/>
      <c r="B12" s="222"/>
      <c r="C12" s="222"/>
      <c r="D12" s="87"/>
      <c r="E12" s="219"/>
      <c r="F12" s="219"/>
      <c r="G12" s="219"/>
      <c r="H12" s="219"/>
      <c r="I12" s="219"/>
      <c r="J12" s="219"/>
      <c r="K12" s="172">
        <f t="shared" si="0"/>
        <v>0</v>
      </c>
      <c r="L12" s="172">
        <f t="shared" si="1"/>
        <v>0</v>
      </c>
      <c r="M12" s="172">
        <f t="shared" si="2"/>
        <v>0</v>
      </c>
    </row>
    <row r="13" spans="1:14" s="2" customFormat="1" ht="9.6" customHeight="1" x14ac:dyDescent="0.2">
      <c r="A13" s="222"/>
      <c r="B13" s="222"/>
      <c r="C13" s="222"/>
      <c r="D13" s="87"/>
      <c r="E13" s="219"/>
      <c r="F13" s="219"/>
      <c r="G13" s="219"/>
      <c r="H13" s="219"/>
      <c r="I13" s="219"/>
      <c r="J13" s="219"/>
      <c r="K13" s="172">
        <f t="shared" si="0"/>
        <v>0</v>
      </c>
      <c r="L13" s="172">
        <f t="shared" si="1"/>
        <v>0</v>
      </c>
      <c r="M13" s="172">
        <f t="shared" si="2"/>
        <v>0</v>
      </c>
    </row>
    <row r="14" spans="1:14" s="2" customFormat="1" ht="9.6" customHeight="1" x14ac:dyDescent="0.2">
      <c r="A14" s="222"/>
      <c r="B14" s="222"/>
      <c r="C14" s="222"/>
      <c r="D14" s="87"/>
      <c r="E14" s="219"/>
      <c r="F14" s="219"/>
      <c r="G14" s="219"/>
      <c r="H14" s="219"/>
      <c r="I14" s="219"/>
      <c r="J14" s="219"/>
      <c r="K14" s="172">
        <f t="shared" si="0"/>
        <v>0</v>
      </c>
      <c r="L14" s="172">
        <f t="shared" si="1"/>
        <v>0</v>
      </c>
      <c r="M14" s="172">
        <f t="shared" si="2"/>
        <v>0</v>
      </c>
    </row>
    <row r="15" spans="1:14" s="2" customFormat="1" ht="9.6" customHeight="1" x14ac:dyDescent="0.2">
      <c r="A15" s="222"/>
      <c r="B15" s="222"/>
      <c r="C15" s="222"/>
      <c r="D15" s="87"/>
      <c r="E15" s="219"/>
      <c r="F15" s="219"/>
      <c r="G15" s="219"/>
      <c r="H15" s="219"/>
      <c r="I15" s="219"/>
      <c r="J15" s="219"/>
      <c r="K15" s="172">
        <f t="shared" si="0"/>
        <v>0</v>
      </c>
      <c r="L15" s="172">
        <f t="shared" si="1"/>
        <v>0</v>
      </c>
      <c r="M15" s="172">
        <f t="shared" si="2"/>
        <v>0</v>
      </c>
    </row>
    <row r="16" spans="1:14" s="2" customFormat="1" ht="9.6" customHeight="1" x14ac:dyDescent="0.2">
      <c r="A16" s="222"/>
      <c r="B16" s="222"/>
      <c r="C16" s="222"/>
      <c r="D16" s="87"/>
      <c r="E16" s="219"/>
      <c r="F16" s="219"/>
      <c r="G16" s="219"/>
      <c r="H16" s="219"/>
      <c r="I16" s="219"/>
      <c r="J16" s="219"/>
      <c r="K16" s="172">
        <f t="shared" si="0"/>
        <v>0</v>
      </c>
      <c r="L16" s="172">
        <f t="shared" si="1"/>
        <v>0</v>
      </c>
      <c r="M16" s="172">
        <f t="shared" si="2"/>
        <v>0</v>
      </c>
    </row>
    <row r="17" spans="1:13" s="2" customFormat="1" ht="9.6" customHeight="1" x14ac:dyDescent="0.2">
      <c r="A17" s="222"/>
      <c r="B17" s="222"/>
      <c r="C17" s="222"/>
      <c r="D17" s="87"/>
      <c r="E17" s="219"/>
      <c r="F17" s="219"/>
      <c r="G17" s="219"/>
      <c r="H17" s="219"/>
      <c r="I17" s="219"/>
      <c r="J17" s="219"/>
      <c r="K17" s="172">
        <f t="shared" si="0"/>
        <v>0</v>
      </c>
      <c r="L17" s="172">
        <f t="shared" si="1"/>
        <v>0</v>
      </c>
      <c r="M17" s="172">
        <f t="shared" si="2"/>
        <v>0</v>
      </c>
    </row>
    <row r="18" spans="1:13" s="2" customFormat="1" ht="9.6" customHeight="1" x14ac:dyDescent="0.2">
      <c r="A18" s="222"/>
      <c r="B18" s="222"/>
      <c r="C18" s="222"/>
      <c r="D18" s="87"/>
      <c r="E18" s="219"/>
      <c r="F18" s="219"/>
      <c r="G18" s="219"/>
      <c r="H18" s="219"/>
      <c r="I18" s="219"/>
      <c r="J18" s="219"/>
      <c r="K18" s="172">
        <f t="shared" si="0"/>
        <v>0</v>
      </c>
      <c r="L18" s="172">
        <f t="shared" si="1"/>
        <v>0</v>
      </c>
      <c r="M18" s="172">
        <f t="shared" si="2"/>
        <v>0</v>
      </c>
    </row>
    <row r="19" spans="1:13" s="2" customFormat="1" ht="9.6" customHeight="1" x14ac:dyDescent="0.2">
      <c r="A19" s="222"/>
      <c r="B19" s="222"/>
      <c r="C19" s="222"/>
      <c r="D19" s="87"/>
      <c r="E19" s="219"/>
      <c r="F19" s="219"/>
      <c r="G19" s="219"/>
      <c r="H19" s="219"/>
      <c r="I19" s="219"/>
      <c r="J19" s="219"/>
      <c r="K19" s="172">
        <f t="shared" si="0"/>
        <v>0</v>
      </c>
      <c r="L19" s="172">
        <f t="shared" si="1"/>
        <v>0</v>
      </c>
      <c r="M19" s="172">
        <f t="shared" si="2"/>
        <v>0</v>
      </c>
    </row>
    <row r="20" spans="1:13" s="2" customFormat="1" ht="9.6" customHeight="1" x14ac:dyDescent="0.2">
      <c r="A20" s="222"/>
      <c r="B20" s="222"/>
      <c r="C20" s="222"/>
      <c r="D20" s="87"/>
      <c r="E20" s="219"/>
      <c r="F20" s="219"/>
      <c r="G20" s="219"/>
      <c r="H20" s="219"/>
      <c r="I20" s="219"/>
      <c r="J20" s="219"/>
      <c r="K20" s="172">
        <f t="shared" si="0"/>
        <v>0</v>
      </c>
      <c r="L20" s="172">
        <f t="shared" si="1"/>
        <v>0</v>
      </c>
      <c r="M20" s="172">
        <f t="shared" si="2"/>
        <v>0</v>
      </c>
    </row>
    <row r="21" spans="1:13" s="2" customFormat="1" ht="9.6" customHeight="1" x14ac:dyDescent="0.2">
      <c r="A21" s="222"/>
      <c r="B21" s="222"/>
      <c r="C21" s="222"/>
      <c r="D21" s="87"/>
      <c r="E21" s="219"/>
      <c r="F21" s="219"/>
      <c r="G21" s="219"/>
      <c r="H21" s="219"/>
      <c r="I21" s="219"/>
      <c r="J21" s="219"/>
      <c r="K21" s="172">
        <f t="shared" si="0"/>
        <v>0</v>
      </c>
      <c r="L21" s="172">
        <f t="shared" si="1"/>
        <v>0</v>
      </c>
      <c r="M21" s="172">
        <f t="shared" si="2"/>
        <v>0</v>
      </c>
    </row>
    <row r="22" spans="1:13" s="2" customFormat="1" ht="9.6" customHeight="1" x14ac:dyDescent="0.2">
      <c r="A22" s="222"/>
      <c r="B22" s="222"/>
      <c r="C22" s="222"/>
      <c r="D22" s="87"/>
      <c r="E22" s="219"/>
      <c r="F22" s="219"/>
      <c r="G22" s="219"/>
      <c r="H22" s="219"/>
      <c r="I22" s="219"/>
      <c r="J22" s="219"/>
      <c r="K22" s="172">
        <f t="shared" si="0"/>
        <v>0</v>
      </c>
      <c r="L22" s="172">
        <f t="shared" si="1"/>
        <v>0</v>
      </c>
      <c r="M22" s="172">
        <f t="shared" si="2"/>
        <v>0</v>
      </c>
    </row>
    <row r="23" spans="1:13" s="2" customFormat="1" ht="9.6" customHeight="1" x14ac:dyDescent="0.2">
      <c r="A23" s="222"/>
      <c r="B23" s="222"/>
      <c r="C23" s="222"/>
      <c r="D23" s="87"/>
      <c r="E23" s="219"/>
      <c r="F23" s="219"/>
      <c r="G23" s="219"/>
      <c r="H23" s="219"/>
      <c r="I23" s="219"/>
      <c r="J23" s="219"/>
      <c r="K23" s="172">
        <f t="shared" si="0"/>
        <v>0</v>
      </c>
      <c r="L23" s="172">
        <f t="shared" si="1"/>
        <v>0</v>
      </c>
      <c r="M23" s="172">
        <f t="shared" si="2"/>
        <v>0</v>
      </c>
    </row>
    <row r="24" spans="1:13" s="2" customFormat="1" ht="9.6" customHeight="1" x14ac:dyDescent="0.2">
      <c r="A24" s="222"/>
      <c r="B24" s="222"/>
      <c r="C24" s="222"/>
      <c r="D24" s="87"/>
      <c r="E24" s="219"/>
      <c r="F24" s="219"/>
      <c r="G24" s="219"/>
      <c r="H24" s="219"/>
      <c r="I24" s="219"/>
      <c r="J24" s="219"/>
      <c r="K24" s="172">
        <f t="shared" si="0"/>
        <v>0</v>
      </c>
      <c r="L24" s="172">
        <f t="shared" si="1"/>
        <v>0</v>
      </c>
      <c r="M24" s="172">
        <f t="shared" si="2"/>
        <v>0</v>
      </c>
    </row>
    <row r="25" spans="1:13" s="2" customFormat="1" ht="9.6" customHeight="1" x14ac:dyDescent="0.2">
      <c r="A25" s="222"/>
      <c r="B25" s="222"/>
      <c r="C25" s="222"/>
      <c r="D25" s="87"/>
      <c r="E25" s="219"/>
      <c r="F25" s="219"/>
      <c r="G25" s="219"/>
      <c r="H25" s="219"/>
      <c r="I25" s="219"/>
      <c r="J25" s="219"/>
      <c r="K25" s="172">
        <f t="shared" si="0"/>
        <v>0</v>
      </c>
      <c r="L25" s="172">
        <f t="shared" si="1"/>
        <v>0</v>
      </c>
      <c r="M25" s="172">
        <f t="shared" si="2"/>
        <v>0</v>
      </c>
    </row>
    <row r="26" spans="1:13" s="2" customFormat="1" ht="9.6" customHeight="1" x14ac:dyDescent="0.2">
      <c r="A26" s="222"/>
      <c r="B26" s="222"/>
      <c r="C26" s="222"/>
      <c r="D26" s="87"/>
      <c r="E26" s="219"/>
      <c r="F26" s="219"/>
      <c r="G26" s="219"/>
      <c r="H26" s="219"/>
      <c r="I26" s="219"/>
      <c r="J26" s="219"/>
      <c r="K26" s="172">
        <f t="shared" si="0"/>
        <v>0</v>
      </c>
      <c r="L26" s="172">
        <f t="shared" si="1"/>
        <v>0</v>
      </c>
      <c r="M26" s="172">
        <f t="shared" si="2"/>
        <v>0</v>
      </c>
    </row>
    <row r="27" spans="1:13" s="2" customFormat="1" ht="9.6" customHeight="1" x14ac:dyDescent="0.2">
      <c r="A27" s="222"/>
      <c r="B27" s="222"/>
      <c r="C27" s="222"/>
      <c r="D27" s="87"/>
      <c r="E27" s="219"/>
      <c r="F27" s="219"/>
      <c r="G27" s="219"/>
      <c r="H27" s="219"/>
      <c r="I27" s="219"/>
      <c r="J27" s="219"/>
      <c r="K27" s="172">
        <f t="shared" si="0"/>
        <v>0</v>
      </c>
      <c r="L27" s="172">
        <f t="shared" si="1"/>
        <v>0</v>
      </c>
      <c r="M27" s="172">
        <f t="shared" si="2"/>
        <v>0</v>
      </c>
    </row>
    <row r="28" spans="1:13" s="2" customFormat="1" ht="9.6" customHeight="1" x14ac:dyDescent="0.2">
      <c r="A28" s="222"/>
      <c r="B28" s="222"/>
      <c r="C28" s="222"/>
      <c r="D28" s="87"/>
      <c r="E28" s="219"/>
      <c r="F28" s="219"/>
      <c r="G28" s="219"/>
      <c r="H28" s="219"/>
      <c r="I28" s="219"/>
      <c r="J28" s="219"/>
      <c r="K28" s="172">
        <f t="shared" si="0"/>
        <v>0</v>
      </c>
      <c r="L28" s="172">
        <f t="shared" si="1"/>
        <v>0</v>
      </c>
      <c r="M28" s="172">
        <f t="shared" si="2"/>
        <v>0</v>
      </c>
    </row>
    <row r="29" spans="1:13" s="2" customFormat="1" ht="9.6" customHeight="1" x14ac:dyDescent="0.2">
      <c r="A29" s="222"/>
      <c r="B29" s="222"/>
      <c r="C29" s="222"/>
      <c r="D29" s="87"/>
      <c r="E29" s="219"/>
      <c r="F29" s="219"/>
      <c r="G29" s="219"/>
      <c r="H29" s="219"/>
      <c r="I29" s="219"/>
      <c r="J29" s="219"/>
      <c r="K29" s="172">
        <f t="shared" si="0"/>
        <v>0</v>
      </c>
      <c r="L29" s="172">
        <f t="shared" si="1"/>
        <v>0</v>
      </c>
      <c r="M29" s="172">
        <f t="shared" si="2"/>
        <v>0</v>
      </c>
    </row>
    <row r="30" spans="1:13" s="2" customFormat="1" ht="9.6" customHeight="1" x14ac:dyDescent="0.2">
      <c r="A30" s="222"/>
      <c r="B30" s="222"/>
      <c r="C30" s="222"/>
      <c r="D30" s="87"/>
      <c r="E30" s="219"/>
      <c r="F30" s="219"/>
      <c r="G30" s="219"/>
      <c r="H30" s="219"/>
      <c r="I30" s="219"/>
      <c r="J30" s="219"/>
      <c r="K30" s="172">
        <f t="shared" si="0"/>
        <v>0</v>
      </c>
      <c r="L30" s="172">
        <f t="shared" si="1"/>
        <v>0</v>
      </c>
      <c r="M30" s="172">
        <f t="shared" si="2"/>
        <v>0</v>
      </c>
    </row>
    <row r="31" spans="1:13" s="2" customFormat="1" ht="9.6" customHeight="1" x14ac:dyDescent="0.2">
      <c r="A31" s="222"/>
      <c r="B31" s="222"/>
      <c r="C31" s="222"/>
      <c r="D31" s="87"/>
      <c r="E31" s="219"/>
      <c r="F31" s="219"/>
      <c r="G31" s="219"/>
      <c r="H31" s="219"/>
      <c r="I31" s="219"/>
      <c r="J31" s="219"/>
      <c r="K31" s="172">
        <f t="shared" si="0"/>
        <v>0</v>
      </c>
      <c r="L31" s="172">
        <f t="shared" si="1"/>
        <v>0</v>
      </c>
      <c r="M31" s="172">
        <f t="shared" si="2"/>
        <v>0</v>
      </c>
    </row>
    <row r="32" spans="1:13" s="2" customFormat="1" ht="9.6" customHeight="1" x14ac:dyDescent="0.2">
      <c r="A32" s="222"/>
      <c r="B32" s="222"/>
      <c r="C32" s="222"/>
      <c r="D32" s="87"/>
      <c r="E32" s="219"/>
      <c r="F32" s="219"/>
      <c r="G32" s="219"/>
      <c r="H32" s="219"/>
      <c r="I32" s="219"/>
      <c r="J32" s="219"/>
      <c r="K32" s="172">
        <f t="shared" si="0"/>
        <v>0</v>
      </c>
      <c r="L32" s="172">
        <f t="shared" si="1"/>
        <v>0</v>
      </c>
      <c r="M32" s="172">
        <f t="shared" si="2"/>
        <v>0</v>
      </c>
    </row>
    <row r="33" spans="1:16" s="2" customFormat="1" ht="9.6" customHeight="1" x14ac:dyDescent="0.2">
      <c r="A33" s="222" t="s">
        <v>127</v>
      </c>
      <c r="B33" s="222"/>
      <c r="C33" s="222"/>
      <c r="D33" s="87">
        <v>1</v>
      </c>
      <c r="E33" s="219">
        <v>0</v>
      </c>
      <c r="F33" s="219"/>
      <c r="G33" s="219">
        <v>0</v>
      </c>
      <c r="H33" s="219"/>
      <c r="I33" s="219">
        <v>0</v>
      </c>
      <c r="J33" s="219"/>
      <c r="K33" s="172">
        <f t="shared" ref="K33" si="3">E33*D33</f>
        <v>0</v>
      </c>
      <c r="L33" s="172">
        <f t="shared" si="1"/>
        <v>0</v>
      </c>
      <c r="M33" s="172">
        <f t="shared" si="2"/>
        <v>0</v>
      </c>
    </row>
    <row r="34" spans="1:16" s="2" customFormat="1" ht="9.6" customHeight="1" x14ac:dyDescent="0.2">
      <c r="A34" s="222" t="s">
        <v>228</v>
      </c>
      <c r="B34" s="222"/>
      <c r="C34" s="222"/>
      <c r="D34" s="87">
        <v>1</v>
      </c>
      <c r="E34" s="219">
        <v>0</v>
      </c>
      <c r="F34" s="219"/>
      <c r="G34" s="219">
        <v>0</v>
      </c>
      <c r="H34" s="219"/>
      <c r="I34" s="219">
        <v>0</v>
      </c>
      <c r="J34" s="219"/>
      <c r="K34" s="172">
        <f>E34*D34</f>
        <v>0</v>
      </c>
      <c r="L34" s="172">
        <f>G34*D34</f>
        <v>0</v>
      </c>
      <c r="M34" s="172">
        <f>I34*D34</f>
        <v>0</v>
      </c>
    </row>
    <row r="35" spans="1:16" s="2" customFormat="1" ht="9.6" customHeight="1" x14ac:dyDescent="0.2">
      <c r="A35" s="220" t="s">
        <v>248</v>
      </c>
      <c r="B35" s="220"/>
      <c r="C35" s="220"/>
      <c r="D35" s="87">
        <v>0</v>
      </c>
      <c r="E35" s="219">
        <v>150000</v>
      </c>
      <c r="F35" s="219"/>
      <c r="G35" s="219">
        <v>200000</v>
      </c>
      <c r="H35" s="219"/>
      <c r="I35" s="219">
        <v>300000</v>
      </c>
      <c r="J35" s="219"/>
      <c r="K35" s="172">
        <f>E35*D35/K7</f>
        <v>0</v>
      </c>
      <c r="L35" s="172">
        <f>G35*D35/L7</f>
        <v>0</v>
      </c>
      <c r="M35" s="172">
        <f>I35*D35/M7</f>
        <v>0</v>
      </c>
    </row>
    <row r="36" spans="1:16" s="2" customFormat="1" ht="9.6" customHeight="1" x14ac:dyDescent="0.2">
      <c r="A36" s="221" t="s">
        <v>227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</row>
    <row r="37" spans="1:16" s="2" customFormat="1" ht="15" customHeight="1" x14ac:dyDescent="0.2">
      <c r="A37" s="217" t="s">
        <v>140</v>
      </c>
      <c r="B37" s="217"/>
      <c r="C37" s="217"/>
      <c r="D37" s="87">
        <v>1</v>
      </c>
      <c r="E37" s="218">
        <v>0</v>
      </c>
      <c r="F37" s="219"/>
      <c r="G37" s="218">
        <v>0</v>
      </c>
      <c r="H37" s="219"/>
      <c r="I37" s="218">
        <v>0</v>
      </c>
      <c r="J37" s="219"/>
      <c r="K37" s="171">
        <f t="shared" ref="K37:K38" si="4">+D37*E37</f>
        <v>0</v>
      </c>
      <c r="L37" s="172">
        <f t="shared" ref="L37:L38" si="5">G37*D37</f>
        <v>0</v>
      </c>
      <c r="M37" s="172">
        <f t="shared" ref="M37:M38" si="6">I37*D37</f>
        <v>0</v>
      </c>
    </row>
    <row r="38" spans="1:16" s="2" customFormat="1" ht="15" customHeight="1" x14ac:dyDescent="0.2">
      <c r="A38" s="217" t="s">
        <v>140</v>
      </c>
      <c r="B38" s="217"/>
      <c r="C38" s="217"/>
      <c r="D38" s="87">
        <v>1</v>
      </c>
      <c r="E38" s="218">
        <v>0</v>
      </c>
      <c r="F38" s="219"/>
      <c r="G38" s="218">
        <v>0</v>
      </c>
      <c r="H38" s="219"/>
      <c r="I38" s="218">
        <v>0</v>
      </c>
      <c r="J38" s="219"/>
      <c r="K38" s="171">
        <f t="shared" si="4"/>
        <v>0</v>
      </c>
      <c r="L38" s="172">
        <f t="shared" si="5"/>
        <v>0</v>
      </c>
      <c r="M38" s="172">
        <f t="shared" si="6"/>
        <v>0</v>
      </c>
    </row>
    <row r="39" spans="1:16" s="2" customFormat="1" ht="15" customHeight="1" x14ac:dyDescent="0.2">
      <c r="A39" s="217" t="s">
        <v>137</v>
      </c>
      <c r="B39" s="217"/>
      <c r="C39" s="217"/>
      <c r="D39" s="87">
        <v>1</v>
      </c>
      <c r="E39" s="218">
        <v>0</v>
      </c>
      <c r="F39" s="219"/>
      <c r="G39" s="218">
        <v>0</v>
      </c>
      <c r="H39" s="219"/>
      <c r="I39" s="218">
        <v>0</v>
      </c>
      <c r="J39" s="219"/>
      <c r="K39" s="171">
        <f>+D39*E39</f>
        <v>0</v>
      </c>
      <c r="L39" s="172">
        <f>G39*D39</f>
        <v>0</v>
      </c>
      <c r="M39" s="172">
        <f>I39*D39</f>
        <v>0</v>
      </c>
    </row>
    <row r="40" spans="1:16" s="2" customFormat="1" ht="9.6" customHeight="1" x14ac:dyDescent="0.2">
      <c r="A40" s="212" t="s">
        <v>8</v>
      </c>
      <c r="B40" s="212"/>
      <c r="C40" s="212"/>
      <c r="D40" s="212"/>
      <c r="E40" s="211" t="s">
        <v>251</v>
      </c>
      <c r="F40" s="211"/>
      <c r="G40" s="211"/>
      <c r="H40" s="211"/>
      <c r="I40" s="211"/>
      <c r="J40" s="211"/>
      <c r="K40" s="174">
        <f>SUM(K9:K35)</f>
        <v>0</v>
      </c>
      <c r="L40" s="174">
        <f>SUM(L9:L35)</f>
        <v>0</v>
      </c>
      <c r="M40" s="174">
        <f>SUM(M9:M35)</f>
        <v>0</v>
      </c>
      <c r="N40" s="201"/>
      <c r="O40" s="201"/>
      <c r="P40" s="201"/>
    </row>
    <row r="41" spans="1:16" s="2" customFormat="1" ht="9" customHeight="1" x14ac:dyDescent="0.2">
      <c r="A41" s="213" t="s">
        <v>209</v>
      </c>
      <c r="B41" s="214"/>
      <c r="C41" s="214"/>
      <c r="D41" s="214"/>
      <c r="E41" s="207" t="s">
        <v>231</v>
      </c>
      <c r="F41" s="207"/>
      <c r="G41" s="207"/>
      <c r="H41" s="199">
        <f>MAX(ADMIN!$C$2, ADMIN!$D$2 - (((K$40*K$7) / ADMIN!$B$2) * (ADMIN!$D$2 - ADMIN!$C$2)))</f>
        <v>0.05</v>
      </c>
      <c r="I41" s="199">
        <f>MAX(ADMIN!$C$2, ADMIN!$D$2 - (((L$40*L$7) / ADMIN!$B$2) * (ADMIN!$D$2 - ADMIN!$C$2)))</f>
        <v>0.05</v>
      </c>
      <c r="J41" s="199">
        <f>MAX(ADMIN!$C$2, ADMIN!$D$2 - (((M$40*M$7) / ADMIN!$B$2) * (ADMIN!$D$2 - ADMIN!$C$2)))</f>
        <v>0.05</v>
      </c>
      <c r="K41" s="174">
        <f>K40*H41</f>
        <v>0</v>
      </c>
      <c r="L41" s="174">
        <f t="shared" ref="L41:M41" si="7">L40*I41</f>
        <v>0</v>
      </c>
      <c r="M41" s="174">
        <f t="shared" si="7"/>
        <v>0</v>
      </c>
    </row>
    <row r="42" spans="1:16" s="2" customFormat="1" ht="9" customHeight="1" x14ac:dyDescent="0.2">
      <c r="A42" s="214"/>
      <c r="B42" s="214"/>
      <c r="C42" s="214"/>
      <c r="D42" s="214"/>
      <c r="E42" s="207" t="s">
        <v>232</v>
      </c>
      <c r="F42" s="207"/>
      <c r="G42" s="207"/>
      <c r="H42" s="199">
        <f>MAX(ADMIN!$C$3, ADMIN!$D$3 - (((K$40*K$7) / ADMIN!$B$3) * (ADMIN!$D$3 - ADMIN!$C$3)))</f>
        <v>0.15</v>
      </c>
      <c r="I42" s="199">
        <f>MAX(ADMIN!$C$3, ADMIN!$D$3 - (((L$40*L$7) / ADMIN!$B$3) * (ADMIN!$D$3 - ADMIN!$C$3)))</f>
        <v>0.15</v>
      </c>
      <c r="J42" s="199">
        <f>MAX(ADMIN!$C$3, ADMIN!$D$3 - (((M$40*M$7) / ADMIN!$B$3) * (ADMIN!$D$3 - ADMIN!$C$3)))</f>
        <v>0.15</v>
      </c>
      <c r="K42" s="174">
        <f>K40*H42</f>
        <v>0</v>
      </c>
      <c r="L42" s="174">
        <f t="shared" ref="L42" si="8">L40*I42</f>
        <v>0</v>
      </c>
      <c r="M42" s="174">
        <f>M40*J42</f>
        <v>0</v>
      </c>
    </row>
    <row r="43" spans="1:16" s="2" customFormat="1" ht="9" customHeight="1" x14ac:dyDescent="0.2">
      <c r="A43" s="214"/>
      <c r="B43" s="214"/>
      <c r="C43" s="214"/>
      <c r="D43" s="214"/>
      <c r="E43" s="211" t="s">
        <v>229</v>
      </c>
      <c r="F43" s="211"/>
      <c r="G43" s="211"/>
      <c r="H43" s="211"/>
      <c r="I43" s="211"/>
      <c r="J43" s="211"/>
      <c r="K43" s="174">
        <f>SUM(K37:K39)</f>
        <v>0</v>
      </c>
      <c r="L43" s="174">
        <f t="shared" ref="L43:M43" si="9">SUM(L37:L39)</f>
        <v>0</v>
      </c>
      <c r="M43" s="174">
        <f t="shared" si="9"/>
        <v>0</v>
      </c>
    </row>
    <row r="44" spans="1:16" s="2" customFormat="1" ht="9" customHeight="1" x14ac:dyDescent="0.2">
      <c r="A44" s="214"/>
      <c r="B44" s="214"/>
      <c r="C44" s="214"/>
      <c r="D44" s="214"/>
      <c r="E44" s="207" t="s">
        <v>232</v>
      </c>
      <c r="F44" s="207"/>
      <c r="G44" s="207"/>
      <c r="H44" s="199">
        <f>MAX(ADMIN!$C$4, ADMIN!$D$4 - (((K$43*K$7) / ADMIN!$B$4) * (ADMIN!$D$4 - ADMIN!$C$4)))</f>
        <v>0.05</v>
      </c>
      <c r="I44" s="199">
        <f>MAX(ADMIN!$C$4, ADMIN!$D$4 - (((L$43*L$7) / ADMIN!$B$4) * (ADMIN!$D$4 - ADMIN!$C$4)))</f>
        <v>0.05</v>
      </c>
      <c r="J44" s="199">
        <f>MAX(ADMIN!$C$4, ADMIN!$D$4 - (((M$43*M$7) / ADMIN!$B$4) * (ADMIN!$D$4 - ADMIN!$C$4)))</f>
        <v>0.05</v>
      </c>
      <c r="K44" s="175">
        <f>K43*H44</f>
        <v>0</v>
      </c>
      <c r="L44" s="174">
        <f>L43*I44</f>
        <v>0</v>
      </c>
      <c r="M44" s="174">
        <f>M43*J44</f>
        <v>0</v>
      </c>
    </row>
    <row r="45" spans="1:16" s="2" customFormat="1" ht="9" customHeight="1" x14ac:dyDescent="0.2">
      <c r="A45" s="214"/>
      <c r="B45" s="214"/>
      <c r="C45" s="214"/>
      <c r="D45" s="214"/>
      <c r="E45" s="211" t="s">
        <v>11</v>
      </c>
      <c r="F45" s="211"/>
      <c r="G45" s="211"/>
      <c r="H45" s="211"/>
      <c r="I45" s="211"/>
      <c r="J45" s="211"/>
      <c r="K45" s="176">
        <f>SUM(K40:K44)</f>
        <v>0</v>
      </c>
      <c r="L45" s="176">
        <f>SUM(L40:L44)</f>
        <v>0</v>
      </c>
      <c r="M45" s="176">
        <f>SUM(M40:M44)</f>
        <v>0</v>
      </c>
    </row>
    <row r="46" spans="1:16" s="2" customFormat="1" ht="9" customHeight="1" x14ac:dyDescent="0.2">
      <c r="A46" s="214"/>
      <c r="B46" s="214"/>
      <c r="C46" s="214"/>
      <c r="D46" s="214"/>
      <c r="E46" s="207" t="s">
        <v>233</v>
      </c>
      <c r="F46" s="207"/>
      <c r="G46" s="207"/>
      <c r="H46" s="200">
        <f>MAX(ADMIN!$C$6, ADMIN!$D$6 - (((K$40*K$7) / ADMIN!$B$6) * (ADMIN!$D$6 - ADMIN!$C$6)))</f>
        <v>0.55000000000000004</v>
      </c>
      <c r="I46" s="200">
        <f>MAX(ADMIN!$C$6, ADMIN!$D$6 - (((L$40*L$7) / ADMIN!$B$6) * (ADMIN!$D$6 - ADMIN!$C$6)))</f>
        <v>0.55000000000000004</v>
      </c>
      <c r="J46" s="200">
        <f>MAX(ADMIN!$C$6, ADMIN!$D$6 - (((M$40*M$7) / ADMIN!$B$6) * (ADMIN!$D$6 - ADMIN!$C$6)))</f>
        <v>0.55000000000000004</v>
      </c>
      <c r="K46" s="174">
        <f>IF(K40&gt;0, ((K40+K41+K42)/(1-H46)) - (K40+K41+K42), 0)</f>
        <v>0</v>
      </c>
      <c r="L46" s="174">
        <f t="shared" ref="L46:M46" si="10">IF(L40&gt;0, ((L40+L41+L42)/(1-I46)) - (L40+L41+L42), 0)</f>
        <v>0</v>
      </c>
      <c r="M46" s="174">
        <f t="shared" si="10"/>
        <v>0</v>
      </c>
    </row>
    <row r="47" spans="1:16" s="2" customFormat="1" ht="9" customHeight="1" x14ac:dyDescent="0.2">
      <c r="A47" s="214"/>
      <c r="B47" s="214"/>
      <c r="C47" s="214"/>
      <c r="D47" s="214"/>
      <c r="E47" s="207" t="s">
        <v>234</v>
      </c>
      <c r="F47" s="207"/>
      <c r="G47" s="207"/>
      <c r="H47" s="200">
        <f>MAX(ADMIN!$C$8, ADMIN!$D$8 - (((K$43*K$7) / ADMIN!$B$8) * (ADMIN!$D$8 - ADMIN!$C$8)))</f>
        <v>0.35</v>
      </c>
      <c r="I47" s="200">
        <f>MAX(ADMIN!$C$8, ADMIN!$D$8 - (((L$43*L$7) / ADMIN!$B$8) * (ADMIN!$D$8 - ADMIN!$C$8)))</f>
        <v>0.35</v>
      </c>
      <c r="J47" s="200">
        <f>MAX(ADMIN!$C$8, ADMIN!$D$8 - (((M$43*M$7) / ADMIN!$B$8) * (ADMIN!$D$8 - ADMIN!$C$8)))</f>
        <v>0.35</v>
      </c>
      <c r="K47" s="174">
        <f>IF(K43&gt;0, ((K43+K44)/(1-H47)) - (K43+K44), 0)</f>
        <v>0</v>
      </c>
      <c r="L47" s="174">
        <f t="shared" ref="L47:M47" si="11">IF(L43&gt;0, ((L43+L44)/(1-I47)) - (L43+L44), 0)</f>
        <v>0</v>
      </c>
      <c r="M47" s="174">
        <f t="shared" si="11"/>
        <v>0</v>
      </c>
    </row>
    <row r="48" spans="1:16" s="2" customFormat="1" ht="9" customHeight="1" x14ac:dyDescent="0.2">
      <c r="A48" s="214"/>
      <c r="B48" s="214"/>
      <c r="C48" s="214"/>
      <c r="D48" s="214"/>
      <c r="E48" s="211" t="s">
        <v>230</v>
      </c>
      <c r="F48" s="211"/>
      <c r="G48" s="211"/>
      <c r="H48" s="211"/>
      <c r="I48" s="211"/>
      <c r="J48" s="211"/>
      <c r="K48" s="174">
        <f>IF(K40&gt;0, (K40+K41+K42)/(1-H46), 0) + IF(K43&gt;0, (K43+K44)/(1-H47), 0)</f>
        <v>0</v>
      </c>
      <c r="L48" s="174">
        <f t="shared" ref="L48:M48" si="12">IF(L40&gt;0, (L40+L41+L42)/(1-I46), 0) + IF(L43&gt;0, (L43+L44)/(1-I47), 0)</f>
        <v>0</v>
      </c>
      <c r="M48" s="174">
        <f t="shared" si="12"/>
        <v>0</v>
      </c>
    </row>
    <row r="49" spans="1:16" s="2" customFormat="1" ht="9" customHeight="1" x14ac:dyDescent="0.2">
      <c r="A49" s="214"/>
      <c r="B49" s="214"/>
      <c r="C49" s="214"/>
      <c r="D49" s="214"/>
      <c r="E49" s="207" t="s">
        <v>235</v>
      </c>
      <c r="F49" s="207"/>
      <c r="G49" s="207"/>
      <c r="H49" s="173">
        <v>0</v>
      </c>
      <c r="I49" s="173">
        <v>0</v>
      </c>
      <c r="J49" s="173">
        <v>0</v>
      </c>
      <c r="K49" s="174">
        <f>IF(K51&gt;0, K51 * H49, 0)</f>
        <v>0</v>
      </c>
      <c r="L49" s="174">
        <f t="shared" ref="L49:M49" si="13">IF(L51&gt;0, L51 * I49, 0)</f>
        <v>0</v>
      </c>
      <c r="M49" s="174">
        <f t="shared" si="13"/>
        <v>0</v>
      </c>
    </row>
    <row r="50" spans="1:16" s="2" customFormat="1" ht="9" customHeight="1" x14ac:dyDescent="0.2">
      <c r="A50" s="214"/>
      <c r="B50" s="214"/>
      <c r="C50" s="214"/>
      <c r="D50" s="214"/>
      <c r="E50" s="207" t="s">
        <v>236</v>
      </c>
      <c r="F50" s="207"/>
      <c r="G50" s="207"/>
      <c r="H50" s="173">
        <v>0.03</v>
      </c>
      <c r="I50" s="173">
        <v>0.03</v>
      </c>
      <c r="J50" s="173">
        <v>0.03</v>
      </c>
      <c r="K50" s="174">
        <f>IF(K51&gt;0, K51 * H50, 0)</f>
        <v>0</v>
      </c>
      <c r="L50" s="174">
        <f t="shared" ref="L50:M50" si="14">IF(L51&gt;0, L51 * I50, 0)</f>
        <v>0</v>
      </c>
      <c r="M50" s="174">
        <f t="shared" si="14"/>
        <v>0</v>
      </c>
    </row>
    <row r="51" spans="1:16" s="2" customFormat="1" ht="9" customHeight="1" x14ac:dyDescent="0.2">
      <c r="A51" s="214"/>
      <c r="B51" s="214"/>
      <c r="C51" s="214"/>
      <c r="D51" s="214"/>
      <c r="E51" s="211" t="s">
        <v>155</v>
      </c>
      <c r="F51" s="211"/>
      <c r="G51" s="211"/>
      <c r="H51" s="211"/>
      <c r="I51" s="211"/>
      <c r="J51" s="211"/>
      <c r="K51" s="176">
        <f>IF(K48&gt;0, K48 / (1 - (H49 + H50)), 0)</f>
        <v>0</v>
      </c>
      <c r="L51" s="176">
        <f t="shared" ref="L51:M51" si="15">IF(L48&gt;0, L48 / (1 - (I49 + I50)), 0)</f>
        <v>0</v>
      </c>
      <c r="M51" s="176">
        <f t="shared" si="15"/>
        <v>0</v>
      </c>
      <c r="N51" s="202"/>
      <c r="O51" s="202"/>
      <c r="P51" s="202"/>
    </row>
    <row r="52" spans="1:16" s="2" customFormat="1" ht="9" customHeight="1" x14ac:dyDescent="0.2">
      <c r="A52" s="214"/>
      <c r="B52" s="214"/>
      <c r="C52" s="214"/>
      <c r="D52" s="214"/>
      <c r="E52" s="210" t="s">
        <v>124</v>
      </c>
      <c r="F52" s="210"/>
      <c r="G52" s="210"/>
      <c r="H52" s="210"/>
      <c r="I52" s="210"/>
      <c r="J52" s="210"/>
      <c r="K52" s="174">
        <f>K51*K7</f>
        <v>0</v>
      </c>
      <c r="L52" s="174">
        <f>L51*L7</f>
        <v>0</v>
      </c>
      <c r="M52" s="174">
        <f>M51*M7</f>
        <v>0</v>
      </c>
    </row>
    <row r="53" spans="1:16" s="2" customFormat="1" ht="9" customHeight="1" x14ac:dyDescent="0.2">
      <c r="A53" s="214"/>
      <c r="B53" s="214"/>
      <c r="C53" s="214"/>
      <c r="D53" s="214"/>
      <c r="E53" s="209">
        <v>3100</v>
      </c>
      <c r="F53" s="209"/>
      <c r="G53" s="216" t="s">
        <v>253</v>
      </c>
      <c r="H53" s="216"/>
      <c r="I53" s="216"/>
      <c r="J53" s="216"/>
      <c r="K53" s="176">
        <f>K51/$E$53</f>
        <v>0</v>
      </c>
      <c r="L53" s="176">
        <f t="shared" ref="L53:M53" si="16">L51/$E$53</f>
        <v>0</v>
      </c>
      <c r="M53" s="176">
        <f t="shared" si="16"/>
        <v>0</v>
      </c>
    </row>
    <row r="54" spans="1:16" ht="9" customHeight="1" x14ac:dyDescent="0.2">
      <c r="A54" s="214"/>
      <c r="B54" s="214"/>
      <c r="C54" s="214"/>
      <c r="D54" s="214"/>
      <c r="E54" s="210" t="s">
        <v>106</v>
      </c>
      <c r="F54" s="210"/>
      <c r="G54" s="210"/>
      <c r="H54" s="210"/>
      <c r="I54" s="210"/>
      <c r="J54" s="210"/>
      <c r="K54" s="177">
        <f>K53*K7</f>
        <v>0</v>
      </c>
      <c r="L54" s="177">
        <f>L53*L7</f>
        <v>0</v>
      </c>
      <c r="M54" s="177">
        <f>M53*M7</f>
        <v>0</v>
      </c>
    </row>
    <row r="55" spans="1:16" ht="9" customHeight="1" x14ac:dyDescent="0.2">
      <c r="A55" s="214"/>
      <c r="B55" s="214"/>
      <c r="C55" s="214"/>
      <c r="D55" s="214"/>
      <c r="E55" s="205" t="s">
        <v>122</v>
      </c>
      <c r="F55" s="205"/>
      <c r="G55" s="205"/>
      <c r="H55" s="205"/>
      <c r="I55" s="206" t="s">
        <v>139</v>
      </c>
      <c r="J55" s="206"/>
      <c r="K55" s="178">
        <v>0</v>
      </c>
      <c r="L55" s="178">
        <v>0</v>
      </c>
      <c r="M55" s="178">
        <v>0</v>
      </c>
    </row>
    <row r="56" spans="1:16" ht="9" customHeight="1" x14ac:dyDescent="0.2">
      <c r="A56" s="214"/>
      <c r="B56" s="214"/>
      <c r="C56" s="214"/>
      <c r="D56" s="214"/>
      <c r="E56" s="205" t="s">
        <v>122</v>
      </c>
      <c r="F56" s="205"/>
      <c r="G56" s="205"/>
      <c r="H56" s="205"/>
      <c r="I56" s="206" t="s">
        <v>123</v>
      </c>
      <c r="J56" s="206"/>
      <c r="K56" s="178">
        <v>0</v>
      </c>
      <c r="L56" s="178">
        <v>0</v>
      </c>
      <c r="M56" s="178">
        <v>0</v>
      </c>
    </row>
    <row r="57" spans="1:16" ht="9" customHeight="1" x14ac:dyDescent="0.2">
      <c r="A57" s="214"/>
      <c r="B57" s="214"/>
      <c r="C57" s="214"/>
      <c r="D57" s="214"/>
      <c r="E57" s="210" t="s">
        <v>103</v>
      </c>
      <c r="F57" s="210"/>
      <c r="G57" s="210"/>
      <c r="H57" s="210"/>
      <c r="I57" s="210"/>
      <c r="J57" s="210"/>
      <c r="K57" s="179">
        <v>0</v>
      </c>
      <c r="L57" s="179">
        <v>0</v>
      </c>
      <c r="M57" s="179">
        <v>0</v>
      </c>
    </row>
    <row r="58" spans="1:16" ht="9" customHeight="1" x14ac:dyDescent="0.2">
      <c r="A58" s="214"/>
      <c r="B58" s="214"/>
      <c r="C58" s="214"/>
      <c r="D58" s="214"/>
      <c r="E58" s="205" t="s">
        <v>146</v>
      </c>
      <c r="F58" s="205"/>
      <c r="G58" s="205"/>
      <c r="H58" s="205"/>
      <c r="I58" s="215">
        <v>0</v>
      </c>
      <c r="J58" s="215"/>
      <c r="K58" s="179">
        <v>0</v>
      </c>
      <c r="L58" s="179">
        <v>0</v>
      </c>
      <c r="M58" s="179">
        <v>0</v>
      </c>
    </row>
    <row r="59" spans="1:16" ht="9" customHeight="1" x14ac:dyDescent="0.2">
      <c r="A59" s="214"/>
      <c r="B59" s="214"/>
      <c r="C59" s="214"/>
      <c r="D59" s="214"/>
      <c r="E59" s="205" t="s">
        <v>147</v>
      </c>
      <c r="F59" s="205"/>
      <c r="G59" s="205"/>
      <c r="H59" s="205"/>
      <c r="I59" s="215">
        <v>0</v>
      </c>
      <c r="J59" s="215"/>
      <c r="K59" s="179">
        <v>0</v>
      </c>
      <c r="L59" s="179">
        <v>0</v>
      </c>
      <c r="M59" s="179">
        <v>0</v>
      </c>
    </row>
    <row r="60" spans="1:16" ht="9" customHeight="1" x14ac:dyDescent="0.2">
      <c r="A60" s="214"/>
      <c r="B60" s="214"/>
      <c r="C60" s="214"/>
      <c r="D60" s="214"/>
      <c r="E60" s="210" t="s">
        <v>108</v>
      </c>
      <c r="F60" s="210"/>
      <c r="G60" s="210"/>
      <c r="H60" s="210"/>
      <c r="I60" s="210"/>
      <c r="J60" s="210"/>
      <c r="K60" s="179">
        <v>0</v>
      </c>
      <c r="L60" s="179">
        <v>0</v>
      </c>
      <c r="M60" s="179">
        <v>0</v>
      </c>
    </row>
    <row r="61" spans="1:16" ht="9" customHeight="1" x14ac:dyDescent="0.2">
      <c r="A61" s="214"/>
      <c r="B61" s="214"/>
      <c r="C61" s="214"/>
      <c r="D61" s="214"/>
      <c r="E61" s="210" t="s">
        <v>109</v>
      </c>
      <c r="F61" s="210"/>
      <c r="G61" s="210"/>
      <c r="H61" s="210"/>
      <c r="I61" s="210"/>
      <c r="J61" s="210"/>
      <c r="K61" s="179">
        <v>0</v>
      </c>
      <c r="L61" s="179">
        <v>0</v>
      </c>
      <c r="M61" s="179">
        <v>0</v>
      </c>
    </row>
    <row r="62" spans="1:16" ht="9" customHeight="1" x14ac:dyDescent="0.2">
      <c r="A62" s="214"/>
      <c r="B62" s="214"/>
      <c r="C62" s="214"/>
      <c r="D62" s="214"/>
      <c r="E62" s="210" t="s">
        <v>145</v>
      </c>
      <c r="F62" s="210"/>
      <c r="G62" s="210"/>
      <c r="H62" s="210"/>
      <c r="I62" s="210"/>
      <c r="J62" s="210"/>
      <c r="K62" s="179">
        <v>0</v>
      </c>
      <c r="L62" s="179">
        <v>0</v>
      </c>
      <c r="M62" s="179">
        <v>0</v>
      </c>
    </row>
    <row r="63" spans="1:16" ht="9" customHeight="1" x14ac:dyDescent="0.2">
      <c r="A63" s="214"/>
      <c r="B63" s="214"/>
      <c r="C63" s="214"/>
      <c r="D63" s="214"/>
      <c r="E63" s="207" t="s">
        <v>107</v>
      </c>
      <c r="F63" s="207"/>
      <c r="G63" s="207"/>
      <c r="H63" s="207"/>
      <c r="I63" s="209" t="s">
        <v>136</v>
      </c>
      <c r="J63" s="209"/>
      <c r="K63" s="177">
        <f>SUM(K54:K62)</f>
        <v>0</v>
      </c>
      <c r="L63" s="177">
        <f t="shared" ref="L63:M63" si="17">SUM(L54:L62)</f>
        <v>0</v>
      </c>
      <c r="M63" s="177">
        <f t="shared" si="17"/>
        <v>0</v>
      </c>
    </row>
    <row r="64" spans="1:16" ht="9" customHeight="1" x14ac:dyDescent="0.2">
      <c r="A64" s="214"/>
      <c r="B64" s="214"/>
      <c r="C64" s="214"/>
      <c r="D64" s="214"/>
      <c r="E64" s="207" t="s">
        <v>144</v>
      </c>
      <c r="F64" s="207"/>
      <c r="G64" s="207"/>
      <c r="H64" s="207"/>
      <c r="I64" s="208">
        <v>0</v>
      </c>
      <c r="J64" s="209"/>
      <c r="K64" s="180">
        <f>IF(K$63&gt;0, K$63 / (1 - $I$64), 0)</f>
        <v>0</v>
      </c>
      <c r="L64" s="180">
        <f t="shared" ref="L64:M64" si="18">IF(L$63&gt;0, L$63 / (1 - $I$64), 0)</f>
        <v>0</v>
      </c>
      <c r="M64" s="180">
        <f t="shared" si="18"/>
        <v>0</v>
      </c>
    </row>
    <row r="65" spans="1:13" ht="9" customHeight="1" x14ac:dyDescent="0.2">
      <c r="A65" s="214"/>
      <c r="B65" s="214"/>
      <c r="C65" s="214"/>
      <c r="D65" s="214"/>
      <c r="E65" s="207" t="s">
        <v>142</v>
      </c>
      <c r="F65" s="207"/>
      <c r="G65" s="207"/>
      <c r="H65" s="207"/>
      <c r="I65" s="208">
        <v>0.03</v>
      </c>
      <c r="J65" s="209"/>
      <c r="K65" s="180">
        <f>IF(K$63&gt;0, K$63 / (1 - $I$65), 0)</f>
        <v>0</v>
      </c>
      <c r="L65" s="180">
        <f t="shared" ref="L65:M65" si="19">IF(L$63&gt;0, L$63 / (1 - $I$65), 0)</f>
        <v>0</v>
      </c>
      <c r="M65" s="180">
        <f t="shared" si="19"/>
        <v>0</v>
      </c>
    </row>
    <row r="66" spans="1:13" ht="9" customHeight="1" x14ac:dyDescent="0.2">
      <c r="A66" s="214"/>
      <c r="B66" s="214"/>
      <c r="C66" s="214"/>
      <c r="D66" s="214"/>
      <c r="E66" s="207" t="s">
        <v>143</v>
      </c>
      <c r="F66" s="207"/>
      <c r="G66" s="207"/>
      <c r="H66" s="207"/>
      <c r="I66" s="208">
        <v>0.06</v>
      </c>
      <c r="J66" s="209"/>
      <c r="K66" s="180">
        <f>IF(K$63&gt;0, K$63 / (1 - $I$66), 0)</f>
        <v>0</v>
      </c>
      <c r="L66" s="180">
        <f t="shared" ref="L66:M66" si="20">IF(L$63&gt;0, L$63 / (1 - $I$66), 0)</f>
        <v>0</v>
      </c>
      <c r="M66" s="180">
        <f t="shared" si="20"/>
        <v>0</v>
      </c>
    </row>
  </sheetData>
  <sheetProtection selectLockedCells="1"/>
  <dataConsolidate topLabels="1">
    <dataRefs count="1">
      <dataRef ref="H12" sheet="FLOOR DISPLAY CON 7 CAMBIOS"/>
    </dataRefs>
  </dataConsolidate>
  <mergeCells count="177">
    <mergeCell ref="A1:M1"/>
    <mergeCell ref="C2:F2"/>
    <mergeCell ref="G2:J2"/>
    <mergeCell ref="K2:M2"/>
    <mergeCell ref="A3:A4"/>
    <mergeCell ref="C3:F3"/>
    <mergeCell ref="G3:J3"/>
    <mergeCell ref="K3:M3"/>
    <mergeCell ref="C4:F4"/>
    <mergeCell ref="G4:J4"/>
    <mergeCell ref="K8:M8"/>
    <mergeCell ref="A9:M9"/>
    <mergeCell ref="A10:C10"/>
    <mergeCell ref="E10:F10"/>
    <mergeCell ref="G10:H10"/>
    <mergeCell ref="I10:J10"/>
    <mergeCell ref="K4:M4"/>
    <mergeCell ref="A5:M5"/>
    <mergeCell ref="A6:C8"/>
    <mergeCell ref="D6:D8"/>
    <mergeCell ref="E6:J6"/>
    <mergeCell ref="K6:M6"/>
    <mergeCell ref="E7:F7"/>
    <mergeCell ref="G7:H7"/>
    <mergeCell ref="I7:J7"/>
    <mergeCell ref="E8:J8"/>
    <mergeCell ref="A13:C13"/>
    <mergeCell ref="E13:F13"/>
    <mergeCell ref="G13:H13"/>
    <mergeCell ref="I13:J13"/>
    <mergeCell ref="A14:C14"/>
    <mergeCell ref="E14:F14"/>
    <mergeCell ref="G14:H14"/>
    <mergeCell ref="I14:J14"/>
    <mergeCell ref="A11:C11"/>
    <mergeCell ref="E11:F11"/>
    <mergeCell ref="G11:H11"/>
    <mergeCell ref="I11:J11"/>
    <mergeCell ref="A12:C12"/>
    <mergeCell ref="E12:F12"/>
    <mergeCell ref="G12:H12"/>
    <mergeCell ref="I12:J12"/>
    <mergeCell ref="A17:C17"/>
    <mergeCell ref="E17:F17"/>
    <mergeCell ref="G17:H17"/>
    <mergeCell ref="I17:J17"/>
    <mergeCell ref="A18:C18"/>
    <mergeCell ref="E18:F18"/>
    <mergeCell ref="G18:H18"/>
    <mergeCell ref="I18:J18"/>
    <mergeCell ref="A15:C15"/>
    <mergeCell ref="E15:F15"/>
    <mergeCell ref="G15:H15"/>
    <mergeCell ref="I15:J15"/>
    <mergeCell ref="A16:C16"/>
    <mergeCell ref="E16:F16"/>
    <mergeCell ref="G16:H16"/>
    <mergeCell ref="I16:J16"/>
    <mergeCell ref="A21:C21"/>
    <mergeCell ref="E21:F21"/>
    <mergeCell ref="G21:H21"/>
    <mergeCell ref="I21:J21"/>
    <mergeCell ref="A22:C22"/>
    <mergeCell ref="E22:F22"/>
    <mergeCell ref="G22:H22"/>
    <mergeCell ref="I22:J22"/>
    <mergeCell ref="A19:C19"/>
    <mergeCell ref="E19:F19"/>
    <mergeCell ref="G19:H19"/>
    <mergeCell ref="I19:J19"/>
    <mergeCell ref="A20:C20"/>
    <mergeCell ref="E20:F20"/>
    <mergeCell ref="G20:H20"/>
    <mergeCell ref="I20:J20"/>
    <mergeCell ref="A25:C25"/>
    <mergeCell ref="E25:F25"/>
    <mergeCell ref="G25:H25"/>
    <mergeCell ref="I25:J25"/>
    <mergeCell ref="A26:C26"/>
    <mergeCell ref="E26:F26"/>
    <mergeCell ref="G26:H26"/>
    <mergeCell ref="I26:J26"/>
    <mergeCell ref="A23:C23"/>
    <mergeCell ref="E23:F23"/>
    <mergeCell ref="G23:H23"/>
    <mergeCell ref="I23:J23"/>
    <mergeCell ref="A24:C24"/>
    <mergeCell ref="E24:F24"/>
    <mergeCell ref="G24:H24"/>
    <mergeCell ref="I24:J24"/>
    <mergeCell ref="A29:C29"/>
    <mergeCell ref="E29:F29"/>
    <mergeCell ref="G29:H29"/>
    <mergeCell ref="I29:J29"/>
    <mergeCell ref="A30:C30"/>
    <mergeCell ref="E30:F30"/>
    <mergeCell ref="G30:H30"/>
    <mergeCell ref="I30:J30"/>
    <mergeCell ref="A27:C27"/>
    <mergeCell ref="E27:F27"/>
    <mergeCell ref="G27:H27"/>
    <mergeCell ref="I27:J27"/>
    <mergeCell ref="A28:C28"/>
    <mergeCell ref="E28:F28"/>
    <mergeCell ref="G28:H28"/>
    <mergeCell ref="I28:J28"/>
    <mergeCell ref="A33:C33"/>
    <mergeCell ref="E33:F33"/>
    <mergeCell ref="G33:H33"/>
    <mergeCell ref="I33:J33"/>
    <mergeCell ref="A34:C34"/>
    <mergeCell ref="E34:F34"/>
    <mergeCell ref="G34:H34"/>
    <mergeCell ref="I34:J34"/>
    <mergeCell ref="A31:C31"/>
    <mergeCell ref="E31:F31"/>
    <mergeCell ref="G31:H31"/>
    <mergeCell ref="I31:J31"/>
    <mergeCell ref="A32:C32"/>
    <mergeCell ref="E32:F32"/>
    <mergeCell ref="G32:H32"/>
    <mergeCell ref="I32:J32"/>
    <mergeCell ref="A38:C38"/>
    <mergeCell ref="E38:F38"/>
    <mergeCell ref="G38:H38"/>
    <mergeCell ref="I38:J38"/>
    <mergeCell ref="A39:C39"/>
    <mergeCell ref="E39:F39"/>
    <mergeCell ref="G39:H39"/>
    <mergeCell ref="I39:J39"/>
    <mergeCell ref="A35:C35"/>
    <mergeCell ref="E35:F35"/>
    <mergeCell ref="G35:H35"/>
    <mergeCell ref="I35:J35"/>
    <mergeCell ref="A36:M36"/>
    <mergeCell ref="A37:C37"/>
    <mergeCell ref="E37:F37"/>
    <mergeCell ref="G37:H37"/>
    <mergeCell ref="I37:J37"/>
    <mergeCell ref="E47:G47"/>
    <mergeCell ref="E48:J48"/>
    <mergeCell ref="E49:G49"/>
    <mergeCell ref="E50:G50"/>
    <mergeCell ref="E51:J51"/>
    <mergeCell ref="E52:J52"/>
    <mergeCell ref="A40:D40"/>
    <mergeCell ref="E40:J40"/>
    <mergeCell ref="A41:D66"/>
    <mergeCell ref="E41:G41"/>
    <mergeCell ref="E42:G42"/>
    <mergeCell ref="E43:J43"/>
    <mergeCell ref="E44:G44"/>
    <mergeCell ref="E45:J45"/>
    <mergeCell ref="E46:G46"/>
    <mergeCell ref="E57:J57"/>
    <mergeCell ref="E58:H58"/>
    <mergeCell ref="I58:J58"/>
    <mergeCell ref="E59:H59"/>
    <mergeCell ref="I59:J59"/>
    <mergeCell ref="E60:J60"/>
    <mergeCell ref="E53:F53"/>
    <mergeCell ref="G53:J53"/>
    <mergeCell ref="E54:J54"/>
    <mergeCell ref="E55:H55"/>
    <mergeCell ref="I55:J55"/>
    <mergeCell ref="E56:H56"/>
    <mergeCell ref="I56:J56"/>
    <mergeCell ref="E65:H65"/>
    <mergeCell ref="I65:J65"/>
    <mergeCell ref="E66:H66"/>
    <mergeCell ref="I66:J66"/>
    <mergeCell ref="E61:J61"/>
    <mergeCell ref="E62:J62"/>
    <mergeCell ref="E63:H63"/>
    <mergeCell ref="I63:J63"/>
    <mergeCell ref="E64:H64"/>
    <mergeCell ref="I64:J64"/>
  </mergeCells>
  <printOptions horizontalCentered="1" verticalCentered="1"/>
  <pageMargins left="0.39370078740157483" right="0.39370078740157483" top="0.39370078740157483" bottom="0.39370078740157483" header="0" footer="0"/>
  <pageSetup orientation="landscape" horizontalDpi="360" verticalDpi="36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zoomScale="85" zoomScaleNormal="85" workbookViewId="0">
      <selection activeCell="E8" sqref="E8:J8"/>
    </sheetView>
  </sheetViews>
  <sheetFormatPr baseColWidth="10" defaultRowHeight="12.75" x14ac:dyDescent="0.2"/>
  <cols>
    <col min="1" max="1" width="10.5703125" customWidth="1"/>
    <col min="2" max="2" width="21.42578125" customWidth="1"/>
    <col min="3" max="3" width="17" customWidth="1"/>
    <col min="4" max="4" width="8.5703125" style="101" customWidth="1"/>
    <col min="5" max="9" width="7.28515625" style="101" customWidth="1"/>
    <col min="10" max="10" width="7.28515625" style="1" customWidth="1"/>
    <col min="11" max="11" width="14.7109375" style="1" customWidth="1"/>
    <col min="12" max="13" width="14.7109375" customWidth="1"/>
    <col min="14" max="14" width="13.28515625" style="195" bestFit="1" customWidth="1"/>
    <col min="15" max="15" width="13.28515625" bestFit="1" customWidth="1"/>
    <col min="16" max="16" width="14.140625" bestFit="1" customWidth="1"/>
  </cols>
  <sheetData>
    <row r="1" spans="1:14" s="2" customFormat="1" ht="9.6" customHeight="1" x14ac:dyDescent="0.2">
      <c r="A1" s="221" t="s">
        <v>250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191"/>
    </row>
    <row r="2" spans="1:14" s="2" customFormat="1" ht="9.6" customHeight="1" x14ac:dyDescent="0.2">
      <c r="A2" s="6" t="s">
        <v>4</v>
      </c>
      <c r="B2" s="2" t="s">
        <v>5</v>
      </c>
      <c r="C2" s="230"/>
      <c r="D2" s="230"/>
      <c r="E2" s="230"/>
      <c r="F2" s="230"/>
      <c r="G2" s="231" t="s">
        <v>9</v>
      </c>
      <c r="H2" s="231"/>
      <c r="I2" s="231"/>
      <c r="J2" s="231"/>
      <c r="K2" s="230"/>
      <c r="L2" s="230"/>
      <c r="M2" s="230"/>
      <c r="N2" s="192"/>
    </row>
    <row r="3" spans="1:14" s="2" customFormat="1" ht="9.6" customHeight="1" x14ac:dyDescent="0.2">
      <c r="A3" s="232" t="s">
        <v>210</v>
      </c>
      <c r="B3" s="2" t="s">
        <v>3</v>
      </c>
      <c r="C3" s="230"/>
      <c r="D3" s="230"/>
      <c r="E3" s="230"/>
      <c r="F3" s="230"/>
      <c r="G3" s="231" t="s">
        <v>6</v>
      </c>
      <c r="H3" s="231"/>
      <c r="I3" s="231"/>
      <c r="J3" s="231"/>
      <c r="K3" s="230"/>
      <c r="L3" s="230"/>
      <c r="M3" s="230"/>
      <c r="N3" s="192"/>
    </row>
    <row r="4" spans="1:14" s="2" customFormat="1" ht="9.6" customHeight="1" x14ac:dyDescent="0.2">
      <c r="A4" s="232"/>
      <c r="B4" s="2" t="s">
        <v>138</v>
      </c>
      <c r="C4" s="230"/>
      <c r="D4" s="230"/>
      <c r="E4" s="230"/>
      <c r="F4" s="230"/>
      <c r="G4" s="231" t="s">
        <v>7</v>
      </c>
      <c r="H4" s="231"/>
      <c r="I4" s="231"/>
      <c r="J4" s="231"/>
      <c r="K4" s="224">
        <v>46023</v>
      </c>
      <c r="L4" s="224"/>
      <c r="M4" s="224"/>
      <c r="N4" s="192"/>
    </row>
    <row r="5" spans="1:14" s="2" customFormat="1" ht="9.6" customHeight="1" x14ac:dyDescent="0.2">
      <c r="A5" s="221" t="s">
        <v>238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191"/>
    </row>
    <row r="6" spans="1:14" s="2" customFormat="1" ht="9.6" customHeight="1" x14ac:dyDescent="0.2">
      <c r="A6" s="225" t="s">
        <v>0</v>
      </c>
      <c r="B6" s="225"/>
      <c r="C6" s="225"/>
      <c r="D6" s="225" t="s">
        <v>252</v>
      </c>
      <c r="E6" s="226" t="s">
        <v>10</v>
      </c>
      <c r="F6" s="226"/>
      <c r="G6" s="226"/>
      <c r="H6" s="226"/>
      <c r="I6" s="226"/>
      <c r="J6" s="226"/>
      <c r="K6" s="226" t="s">
        <v>10</v>
      </c>
      <c r="L6" s="226"/>
      <c r="M6" s="226"/>
      <c r="N6" s="191"/>
    </row>
    <row r="7" spans="1:14" s="6" customFormat="1" ht="9.6" customHeight="1" x14ac:dyDescent="0.2">
      <c r="A7" s="225"/>
      <c r="B7" s="225"/>
      <c r="C7" s="225"/>
      <c r="D7" s="225"/>
      <c r="E7" s="227">
        <v>100</v>
      </c>
      <c r="F7" s="227"/>
      <c r="G7" s="228">
        <v>200</v>
      </c>
      <c r="H7" s="228"/>
      <c r="I7" s="228">
        <v>500</v>
      </c>
      <c r="J7" s="228"/>
      <c r="K7" s="170">
        <f>+E7</f>
        <v>100</v>
      </c>
      <c r="L7" s="170">
        <f>+G7</f>
        <v>200</v>
      </c>
      <c r="M7" s="170">
        <f>+I7</f>
        <v>500</v>
      </c>
      <c r="N7" s="193"/>
    </row>
    <row r="8" spans="1:14" s="7" customFormat="1" ht="9.6" customHeight="1" x14ac:dyDescent="0.2">
      <c r="A8" s="225"/>
      <c r="B8" s="225"/>
      <c r="C8" s="225"/>
      <c r="D8" s="225"/>
      <c r="E8" s="229" t="s">
        <v>1</v>
      </c>
      <c r="F8" s="229"/>
      <c r="G8" s="229"/>
      <c r="H8" s="229"/>
      <c r="I8" s="229"/>
      <c r="J8" s="229"/>
      <c r="K8" s="223" t="s">
        <v>2</v>
      </c>
      <c r="L8" s="223"/>
      <c r="M8" s="223"/>
      <c r="N8" s="194"/>
    </row>
    <row r="9" spans="1:14" s="2" customFormat="1" ht="9.6" customHeight="1" x14ac:dyDescent="0.2">
      <c r="A9" s="221" t="s">
        <v>237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195"/>
    </row>
    <row r="10" spans="1:14" s="2" customFormat="1" ht="9.6" customHeight="1" x14ac:dyDescent="0.2">
      <c r="A10" s="222"/>
      <c r="B10" s="222"/>
      <c r="C10" s="222"/>
      <c r="D10" s="87">
        <v>1</v>
      </c>
      <c r="E10" s="219">
        <v>400000</v>
      </c>
      <c r="F10" s="219"/>
      <c r="G10" s="219">
        <v>350000</v>
      </c>
      <c r="H10" s="219"/>
      <c r="I10" s="219">
        <v>330000</v>
      </c>
      <c r="J10" s="219"/>
      <c r="K10" s="172">
        <f t="shared" ref="K10:K33" si="0">E10*D10</f>
        <v>400000</v>
      </c>
      <c r="L10" s="172">
        <f t="shared" ref="L10:L33" si="1">G10*D10</f>
        <v>350000</v>
      </c>
      <c r="M10" s="172">
        <f t="shared" ref="M10:M33" si="2">I10*D10</f>
        <v>330000</v>
      </c>
      <c r="N10" s="195"/>
    </row>
    <row r="11" spans="1:14" s="2" customFormat="1" ht="9.6" customHeight="1" x14ac:dyDescent="0.2">
      <c r="A11" s="222"/>
      <c r="B11" s="222"/>
      <c r="C11" s="222"/>
      <c r="D11" s="87"/>
      <c r="E11" s="219"/>
      <c r="F11" s="219"/>
      <c r="G11" s="219"/>
      <c r="H11" s="219"/>
      <c r="I11" s="219"/>
      <c r="J11" s="219"/>
      <c r="K11" s="172">
        <f t="shared" si="0"/>
        <v>0</v>
      </c>
      <c r="L11" s="172">
        <f t="shared" si="1"/>
        <v>0</v>
      </c>
      <c r="M11" s="172">
        <f t="shared" si="2"/>
        <v>0</v>
      </c>
      <c r="N11" s="195"/>
    </row>
    <row r="12" spans="1:14" s="2" customFormat="1" ht="9.6" customHeight="1" x14ac:dyDescent="0.2">
      <c r="A12" s="222"/>
      <c r="B12" s="222"/>
      <c r="C12" s="222"/>
      <c r="D12" s="87"/>
      <c r="E12" s="219"/>
      <c r="F12" s="219"/>
      <c r="G12" s="219"/>
      <c r="H12" s="219"/>
      <c r="I12" s="219"/>
      <c r="J12" s="219"/>
      <c r="K12" s="172">
        <f t="shared" si="0"/>
        <v>0</v>
      </c>
      <c r="L12" s="172">
        <f t="shared" si="1"/>
        <v>0</v>
      </c>
      <c r="M12" s="172">
        <f t="shared" si="2"/>
        <v>0</v>
      </c>
      <c r="N12" s="195"/>
    </row>
    <row r="13" spans="1:14" s="2" customFormat="1" ht="9.6" customHeight="1" x14ac:dyDescent="0.2">
      <c r="A13" s="222"/>
      <c r="B13" s="222"/>
      <c r="C13" s="222"/>
      <c r="D13" s="87"/>
      <c r="E13" s="219"/>
      <c r="F13" s="219"/>
      <c r="G13" s="219"/>
      <c r="H13" s="219"/>
      <c r="I13" s="219"/>
      <c r="J13" s="219"/>
      <c r="K13" s="172">
        <f t="shared" si="0"/>
        <v>0</v>
      </c>
      <c r="L13" s="172">
        <f t="shared" si="1"/>
        <v>0</v>
      </c>
      <c r="M13" s="172">
        <f t="shared" si="2"/>
        <v>0</v>
      </c>
      <c r="N13" s="195"/>
    </row>
    <row r="14" spans="1:14" s="2" customFormat="1" ht="9.6" customHeight="1" x14ac:dyDescent="0.2">
      <c r="A14" s="222"/>
      <c r="B14" s="222"/>
      <c r="C14" s="222"/>
      <c r="D14" s="87"/>
      <c r="E14" s="219"/>
      <c r="F14" s="219"/>
      <c r="G14" s="219"/>
      <c r="H14" s="219"/>
      <c r="I14" s="219"/>
      <c r="J14" s="219"/>
      <c r="K14" s="172">
        <f t="shared" si="0"/>
        <v>0</v>
      </c>
      <c r="L14" s="172">
        <f t="shared" si="1"/>
        <v>0</v>
      </c>
      <c r="M14" s="172">
        <f t="shared" si="2"/>
        <v>0</v>
      </c>
      <c r="N14" s="195"/>
    </row>
    <row r="15" spans="1:14" s="2" customFormat="1" ht="9.6" customHeight="1" x14ac:dyDescent="0.2">
      <c r="A15" s="222"/>
      <c r="B15" s="222"/>
      <c r="C15" s="222"/>
      <c r="D15" s="87"/>
      <c r="E15" s="219"/>
      <c r="F15" s="219"/>
      <c r="G15" s="219"/>
      <c r="H15" s="219"/>
      <c r="I15" s="219"/>
      <c r="J15" s="219"/>
      <c r="K15" s="172">
        <f t="shared" si="0"/>
        <v>0</v>
      </c>
      <c r="L15" s="172">
        <f t="shared" si="1"/>
        <v>0</v>
      </c>
      <c r="M15" s="172">
        <f t="shared" si="2"/>
        <v>0</v>
      </c>
      <c r="N15" s="195"/>
    </row>
    <row r="16" spans="1:14" s="2" customFormat="1" ht="9.6" customHeight="1" x14ac:dyDescent="0.2">
      <c r="A16" s="222"/>
      <c r="B16" s="222"/>
      <c r="C16" s="222"/>
      <c r="D16" s="87"/>
      <c r="E16" s="219"/>
      <c r="F16" s="219"/>
      <c r="G16" s="219"/>
      <c r="H16" s="219"/>
      <c r="I16" s="219"/>
      <c r="J16" s="219"/>
      <c r="K16" s="172">
        <f t="shared" si="0"/>
        <v>0</v>
      </c>
      <c r="L16" s="172">
        <f t="shared" si="1"/>
        <v>0</v>
      </c>
      <c r="M16" s="172">
        <f t="shared" si="2"/>
        <v>0</v>
      </c>
      <c r="N16" s="195"/>
    </row>
    <row r="17" spans="1:14" s="2" customFormat="1" ht="9.6" customHeight="1" x14ac:dyDescent="0.2">
      <c r="A17" s="222"/>
      <c r="B17" s="222"/>
      <c r="C17" s="222"/>
      <c r="D17" s="87"/>
      <c r="E17" s="219"/>
      <c r="F17" s="219"/>
      <c r="G17" s="219"/>
      <c r="H17" s="219"/>
      <c r="I17" s="219"/>
      <c r="J17" s="219"/>
      <c r="K17" s="172">
        <f t="shared" si="0"/>
        <v>0</v>
      </c>
      <c r="L17" s="172">
        <f t="shared" si="1"/>
        <v>0</v>
      </c>
      <c r="M17" s="172">
        <f t="shared" si="2"/>
        <v>0</v>
      </c>
      <c r="N17" s="195"/>
    </row>
    <row r="18" spans="1:14" s="2" customFormat="1" ht="9.6" customHeight="1" x14ac:dyDescent="0.2">
      <c r="A18" s="222"/>
      <c r="B18" s="222"/>
      <c r="C18" s="222"/>
      <c r="D18" s="87"/>
      <c r="E18" s="219"/>
      <c r="F18" s="219"/>
      <c r="G18" s="219"/>
      <c r="H18" s="219"/>
      <c r="I18" s="219"/>
      <c r="J18" s="219"/>
      <c r="K18" s="172">
        <f t="shared" si="0"/>
        <v>0</v>
      </c>
      <c r="L18" s="172">
        <f t="shared" si="1"/>
        <v>0</v>
      </c>
      <c r="M18" s="172">
        <f t="shared" si="2"/>
        <v>0</v>
      </c>
      <c r="N18" s="195"/>
    </row>
    <row r="19" spans="1:14" s="2" customFormat="1" ht="9.6" customHeight="1" x14ac:dyDescent="0.2">
      <c r="A19" s="222"/>
      <c r="B19" s="222"/>
      <c r="C19" s="222"/>
      <c r="D19" s="87"/>
      <c r="E19" s="219"/>
      <c r="F19" s="219"/>
      <c r="G19" s="219"/>
      <c r="H19" s="219"/>
      <c r="I19" s="219"/>
      <c r="J19" s="219"/>
      <c r="K19" s="172">
        <f t="shared" si="0"/>
        <v>0</v>
      </c>
      <c r="L19" s="172">
        <f t="shared" si="1"/>
        <v>0</v>
      </c>
      <c r="M19" s="172">
        <f t="shared" si="2"/>
        <v>0</v>
      </c>
      <c r="N19" s="195"/>
    </row>
    <row r="20" spans="1:14" s="2" customFormat="1" ht="9.6" customHeight="1" x14ac:dyDescent="0.2">
      <c r="A20" s="222"/>
      <c r="B20" s="222"/>
      <c r="C20" s="222"/>
      <c r="D20" s="87"/>
      <c r="E20" s="219"/>
      <c r="F20" s="219"/>
      <c r="G20" s="219"/>
      <c r="H20" s="219"/>
      <c r="I20" s="219"/>
      <c r="J20" s="219"/>
      <c r="K20" s="172">
        <f t="shared" si="0"/>
        <v>0</v>
      </c>
      <c r="L20" s="172">
        <f t="shared" si="1"/>
        <v>0</v>
      </c>
      <c r="M20" s="172">
        <f t="shared" si="2"/>
        <v>0</v>
      </c>
      <c r="N20" s="195"/>
    </row>
    <row r="21" spans="1:14" s="2" customFormat="1" ht="9.6" customHeight="1" x14ac:dyDescent="0.2">
      <c r="A21" s="222"/>
      <c r="B21" s="222"/>
      <c r="C21" s="222"/>
      <c r="D21" s="87"/>
      <c r="E21" s="219"/>
      <c r="F21" s="219"/>
      <c r="G21" s="219"/>
      <c r="H21" s="219"/>
      <c r="I21" s="219"/>
      <c r="J21" s="219"/>
      <c r="K21" s="172">
        <f t="shared" si="0"/>
        <v>0</v>
      </c>
      <c r="L21" s="172">
        <f t="shared" si="1"/>
        <v>0</v>
      </c>
      <c r="M21" s="172">
        <f t="shared" si="2"/>
        <v>0</v>
      </c>
      <c r="N21" s="195"/>
    </row>
    <row r="22" spans="1:14" s="2" customFormat="1" ht="9.6" customHeight="1" x14ac:dyDescent="0.2">
      <c r="A22" s="222"/>
      <c r="B22" s="222"/>
      <c r="C22" s="222"/>
      <c r="D22" s="87"/>
      <c r="E22" s="219"/>
      <c r="F22" s="219"/>
      <c r="G22" s="219"/>
      <c r="H22" s="219"/>
      <c r="I22" s="219"/>
      <c r="J22" s="219"/>
      <c r="K22" s="172">
        <f t="shared" si="0"/>
        <v>0</v>
      </c>
      <c r="L22" s="172">
        <f t="shared" si="1"/>
        <v>0</v>
      </c>
      <c r="M22" s="172">
        <f t="shared" si="2"/>
        <v>0</v>
      </c>
      <c r="N22" s="195"/>
    </row>
    <row r="23" spans="1:14" s="2" customFormat="1" ht="9.6" customHeight="1" x14ac:dyDescent="0.2">
      <c r="A23" s="222"/>
      <c r="B23" s="222"/>
      <c r="C23" s="222"/>
      <c r="D23" s="87"/>
      <c r="E23" s="219"/>
      <c r="F23" s="219"/>
      <c r="G23" s="219"/>
      <c r="H23" s="219"/>
      <c r="I23" s="219"/>
      <c r="J23" s="219"/>
      <c r="K23" s="172">
        <f t="shared" si="0"/>
        <v>0</v>
      </c>
      <c r="L23" s="172">
        <f t="shared" si="1"/>
        <v>0</v>
      </c>
      <c r="M23" s="172">
        <f t="shared" si="2"/>
        <v>0</v>
      </c>
      <c r="N23" s="195"/>
    </row>
    <row r="24" spans="1:14" s="2" customFormat="1" ht="9.6" customHeight="1" x14ac:dyDescent="0.2">
      <c r="A24" s="222"/>
      <c r="B24" s="222"/>
      <c r="C24" s="222"/>
      <c r="D24" s="87"/>
      <c r="E24" s="219"/>
      <c r="F24" s="219"/>
      <c r="G24" s="219"/>
      <c r="H24" s="219"/>
      <c r="I24" s="219"/>
      <c r="J24" s="219"/>
      <c r="K24" s="172">
        <f t="shared" si="0"/>
        <v>0</v>
      </c>
      <c r="L24" s="172">
        <f t="shared" si="1"/>
        <v>0</v>
      </c>
      <c r="M24" s="172">
        <f t="shared" si="2"/>
        <v>0</v>
      </c>
      <c r="N24" s="195"/>
    </row>
    <row r="25" spans="1:14" s="2" customFormat="1" ht="9.6" customHeight="1" x14ac:dyDescent="0.2">
      <c r="A25" s="222"/>
      <c r="B25" s="222"/>
      <c r="C25" s="222"/>
      <c r="D25" s="87"/>
      <c r="E25" s="219"/>
      <c r="F25" s="219"/>
      <c r="G25" s="219"/>
      <c r="H25" s="219"/>
      <c r="I25" s="219"/>
      <c r="J25" s="219"/>
      <c r="K25" s="172">
        <f t="shared" si="0"/>
        <v>0</v>
      </c>
      <c r="L25" s="172">
        <f t="shared" si="1"/>
        <v>0</v>
      </c>
      <c r="M25" s="172">
        <f t="shared" si="2"/>
        <v>0</v>
      </c>
      <c r="N25" s="195"/>
    </row>
    <row r="26" spans="1:14" s="2" customFormat="1" ht="9.6" customHeight="1" x14ac:dyDescent="0.2">
      <c r="A26" s="222"/>
      <c r="B26" s="222"/>
      <c r="C26" s="222"/>
      <c r="D26" s="87"/>
      <c r="E26" s="219"/>
      <c r="F26" s="219"/>
      <c r="G26" s="219"/>
      <c r="H26" s="219"/>
      <c r="I26" s="219"/>
      <c r="J26" s="219"/>
      <c r="K26" s="172">
        <f t="shared" si="0"/>
        <v>0</v>
      </c>
      <c r="L26" s="172">
        <f t="shared" si="1"/>
        <v>0</v>
      </c>
      <c r="M26" s="172">
        <f t="shared" si="2"/>
        <v>0</v>
      </c>
      <c r="N26" s="195"/>
    </row>
    <row r="27" spans="1:14" s="2" customFormat="1" ht="9.6" customHeight="1" x14ac:dyDescent="0.2">
      <c r="A27" s="222"/>
      <c r="B27" s="222"/>
      <c r="C27" s="222"/>
      <c r="D27" s="87"/>
      <c r="E27" s="219"/>
      <c r="F27" s="219"/>
      <c r="G27" s="219"/>
      <c r="H27" s="219"/>
      <c r="I27" s="219"/>
      <c r="J27" s="219"/>
      <c r="K27" s="172">
        <f t="shared" si="0"/>
        <v>0</v>
      </c>
      <c r="L27" s="172">
        <f t="shared" si="1"/>
        <v>0</v>
      </c>
      <c r="M27" s="172">
        <f t="shared" si="2"/>
        <v>0</v>
      </c>
      <c r="N27" s="195"/>
    </row>
    <row r="28" spans="1:14" s="2" customFormat="1" ht="9.6" customHeight="1" x14ac:dyDescent="0.2">
      <c r="A28" s="222"/>
      <c r="B28" s="222"/>
      <c r="C28" s="222"/>
      <c r="D28" s="87"/>
      <c r="E28" s="219"/>
      <c r="F28" s="219"/>
      <c r="G28" s="219"/>
      <c r="H28" s="219"/>
      <c r="I28" s="219"/>
      <c r="J28" s="219"/>
      <c r="K28" s="172">
        <f t="shared" si="0"/>
        <v>0</v>
      </c>
      <c r="L28" s="172">
        <f t="shared" si="1"/>
        <v>0</v>
      </c>
      <c r="M28" s="172">
        <f t="shared" si="2"/>
        <v>0</v>
      </c>
      <c r="N28" s="195"/>
    </row>
    <row r="29" spans="1:14" s="2" customFormat="1" ht="9.6" customHeight="1" x14ac:dyDescent="0.2">
      <c r="A29" s="222"/>
      <c r="B29" s="222"/>
      <c r="C29" s="222"/>
      <c r="D29" s="87"/>
      <c r="E29" s="219"/>
      <c r="F29" s="219"/>
      <c r="G29" s="219"/>
      <c r="H29" s="219"/>
      <c r="I29" s="219"/>
      <c r="J29" s="219"/>
      <c r="K29" s="172">
        <f t="shared" si="0"/>
        <v>0</v>
      </c>
      <c r="L29" s="172">
        <f t="shared" si="1"/>
        <v>0</v>
      </c>
      <c r="M29" s="172">
        <f t="shared" si="2"/>
        <v>0</v>
      </c>
      <c r="N29" s="195"/>
    </row>
    <row r="30" spans="1:14" s="2" customFormat="1" ht="9.6" customHeight="1" x14ac:dyDescent="0.2">
      <c r="A30" s="222"/>
      <c r="B30" s="222"/>
      <c r="C30" s="222"/>
      <c r="D30" s="87"/>
      <c r="E30" s="219"/>
      <c r="F30" s="219"/>
      <c r="G30" s="219"/>
      <c r="H30" s="219"/>
      <c r="I30" s="219"/>
      <c r="J30" s="219"/>
      <c r="K30" s="172">
        <f t="shared" si="0"/>
        <v>0</v>
      </c>
      <c r="L30" s="172">
        <f t="shared" si="1"/>
        <v>0</v>
      </c>
      <c r="M30" s="172">
        <f t="shared" si="2"/>
        <v>0</v>
      </c>
      <c r="N30" s="195"/>
    </row>
    <row r="31" spans="1:14" s="2" customFormat="1" ht="9.6" customHeight="1" x14ac:dyDescent="0.2">
      <c r="A31" s="222"/>
      <c r="B31" s="222"/>
      <c r="C31" s="222"/>
      <c r="D31" s="87"/>
      <c r="E31" s="219"/>
      <c r="F31" s="219"/>
      <c r="G31" s="219"/>
      <c r="H31" s="219"/>
      <c r="I31" s="219"/>
      <c r="J31" s="219"/>
      <c r="K31" s="172">
        <f t="shared" si="0"/>
        <v>0</v>
      </c>
      <c r="L31" s="172">
        <f t="shared" si="1"/>
        <v>0</v>
      </c>
      <c r="M31" s="172">
        <f t="shared" si="2"/>
        <v>0</v>
      </c>
      <c r="N31" s="195"/>
    </row>
    <row r="32" spans="1:14" s="2" customFormat="1" ht="9.6" customHeight="1" x14ac:dyDescent="0.2">
      <c r="A32" s="222"/>
      <c r="B32" s="222"/>
      <c r="C32" s="222"/>
      <c r="D32" s="87"/>
      <c r="E32" s="219"/>
      <c r="F32" s="219"/>
      <c r="G32" s="219"/>
      <c r="H32" s="219"/>
      <c r="I32" s="219"/>
      <c r="J32" s="219"/>
      <c r="K32" s="172">
        <f t="shared" si="0"/>
        <v>0</v>
      </c>
      <c r="L32" s="172">
        <f t="shared" si="1"/>
        <v>0</v>
      </c>
      <c r="M32" s="172">
        <f t="shared" si="2"/>
        <v>0</v>
      </c>
      <c r="N32" s="195"/>
    </row>
    <row r="33" spans="1:16" s="2" customFormat="1" ht="9.6" customHeight="1" x14ac:dyDescent="0.2">
      <c r="A33" s="222" t="s">
        <v>127</v>
      </c>
      <c r="B33" s="222"/>
      <c r="C33" s="222"/>
      <c r="D33" s="87">
        <v>1</v>
      </c>
      <c r="E33" s="219">
        <v>0</v>
      </c>
      <c r="F33" s="219"/>
      <c r="G33" s="219">
        <v>0</v>
      </c>
      <c r="H33" s="219"/>
      <c r="I33" s="219">
        <v>0</v>
      </c>
      <c r="J33" s="219"/>
      <c r="K33" s="172">
        <f t="shared" si="0"/>
        <v>0</v>
      </c>
      <c r="L33" s="172">
        <f t="shared" si="1"/>
        <v>0</v>
      </c>
      <c r="M33" s="172">
        <f t="shared" si="2"/>
        <v>0</v>
      </c>
      <c r="N33" s="195"/>
    </row>
    <row r="34" spans="1:16" s="2" customFormat="1" ht="9.6" customHeight="1" x14ac:dyDescent="0.2">
      <c r="A34" s="222" t="s">
        <v>228</v>
      </c>
      <c r="B34" s="222"/>
      <c r="C34" s="222"/>
      <c r="D34" s="87">
        <v>1</v>
      </c>
      <c r="E34" s="219">
        <v>0</v>
      </c>
      <c r="F34" s="219"/>
      <c r="G34" s="219">
        <v>0</v>
      </c>
      <c r="H34" s="219"/>
      <c r="I34" s="219">
        <v>0</v>
      </c>
      <c r="J34" s="219"/>
      <c r="K34" s="172">
        <f>E34*D34</f>
        <v>0</v>
      </c>
      <c r="L34" s="172">
        <f>G34*D34</f>
        <v>0</v>
      </c>
      <c r="M34" s="172">
        <f>I34*D34</f>
        <v>0</v>
      </c>
      <c r="N34" s="195"/>
    </row>
    <row r="35" spans="1:16" s="2" customFormat="1" ht="9.6" customHeight="1" x14ac:dyDescent="0.2">
      <c r="A35" s="220" t="s">
        <v>248</v>
      </c>
      <c r="B35" s="220"/>
      <c r="C35" s="220"/>
      <c r="D35" s="87">
        <v>1</v>
      </c>
      <c r="E35" s="219">
        <v>150000</v>
      </c>
      <c r="F35" s="219"/>
      <c r="G35" s="219">
        <v>150000</v>
      </c>
      <c r="H35" s="219"/>
      <c r="I35" s="219">
        <v>150000</v>
      </c>
      <c r="J35" s="219"/>
      <c r="K35" s="172">
        <f>E35*D35/K7</f>
        <v>1500</v>
      </c>
      <c r="L35" s="172">
        <f>G35*D35/L7</f>
        <v>750</v>
      </c>
      <c r="M35" s="172">
        <f>I35*D35/M7</f>
        <v>300</v>
      </c>
      <c r="N35" s="195"/>
    </row>
    <row r="36" spans="1:16" s="2" customFormat="1" ht="9.6" customHeight="1" x14ac:dyDescent="0.2">
      <c r="A36" s="221" t="s">
        <v>227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195"/>
    </row>
    <row r="37" spans="1:16" s="2" customFormat="1" ht="15" customHeight="1" x14ac:dyDescent="0.2">
      <c r="A37" s="217" t="s">
        <v>140</v>
      </c>
      <c r="B37" s="217"/>
      <c r="C37" s="217"/>
      <c r="D37" s="87">
        <v>1</v>
      </c>
      <c r="E37" s="218">
        <v>0</v>
      </c>
      <c r="F37" s="219"/>
      <c r="G37" s="218">
        <v>0</v>
      </c>
      <c r="H37" s="219"/>
      <c r="I37" s="218">
        <v>0</v>
      </c>
      <c r="J37" s="219"/>
      <c r="K37" s="171">
        <f t="shared" ref="K37:K38" si="3">+D37*E37</f>
        <v>0</v>
      </c>
      <c r="L37" s="172">
        <f t="shared" ref="L37:L38" si="4">G37*D37</f>
        <v>0</v>
      </c>
      <c r="M37" s="172">
        <f t="shared" ref="M37:M38" si="5">I37*D37</f>
        <v>0</v>
      </c>
      <c r="N37" s="195"/>
    </row>
    <row r="38" spans="1:16" s="2" customFormat="1" ht="15" customHeight="1" x14ac:dyDescent="0.2">
      <c r="A38" s="217" t="s">
        <v>140</v>
      </c>
      <c r="B38" s="217"/>
      <c r="C38" s="217"/>
      <c r="D38" s="87">
        <v>1</v>
      </c>
      <c r="E38" s="218">
        <v>0</v>
      </c>
      <c r="F38" s="219"/>
      <c r="G38" s="218">
        <v>0</v>
      </c>
      <c r="H38" s="219"/>
      <c r="I38" s="218">
        <v>0</v>
      </c>
      <c r="J38" s="219"/>
      <c r="K38" s="171">
        <f t="shared" si="3"/>
        <v>0</v>
      </c>
      <c r="L38" s="172">
        <f t="shared" si="4"/>
        <v>0</v>
      </c>
      <c r="M38" s="172">
        <f t="shared" si="5"/>
        <v>0</v>
      </c>
      <c r="N38" s="195"/>
    </row>
    <row r="39" spans="1:16" s="2" customFormat="1" ht="15" customHeight="1" x14ac:dyDescent="0.2">
      <c r="A39" s="217" t="s">
        <v>137</v>
      </c>
      <c r="B39" s="217"/>
      <c r="C39" s="217"/>
      <c r="D39" s="87">
        <v>1</v>
      </c>
      <c r="E39" s="218">
        <v>0</v>
      </c>
      <c r="F39" s="219"/>
      <c r="G39" s="218">
        <v>0</v>
      </c>
      <c r="H39" s="219"/>
      <c r="I39" s="218">
        <v>0</v>
      </c>
      <c r="J39" s="219"/>
      <c r="K39" s="171">
        <f>+D39*E39</f>
        <v>0</v>
      </c>
      <c r="L39" s="172">
        <f>G39*D39</f>
        <v>0</v>
      </c>
      <c r="M39" s="172">
        <f>I39*D39</f>
        <v>0</v>
      </c>
      <c r="N39" s="195"/>
    </row>
    <row r="40" spans="1:16" s="2" customFormat="1" ht="9.6" customHeight="1" x14ac:dyDescent="0.2">
      <c r="A40" s="212" t="s">
        <v>8</v>
      </c>
      <c r="B40" s="212"/>
      <c r="C40" s="212"/>
      <c r="D40" s="212"/>
      <c r="E40" s="211" t="s">
        <v>251</v>
      </c>
      <c r="F40" s="211"/>
      <c r="G40" s="211"/>
      <c r="H40" s="211"/>
      <c r="I40" s="211"/>
      <c r="J40" s="211"/>
      <c r="K40" s="174">
        <f>SUM(K9:K35)</f>
        <v>401500</v>
      </c>
      <c r="L40" s="174">
        <f>SUM(L9:L35)</f>
        <v>350750</v>
      </c>
      <c r="M40" s="174">
        <f>SUM(M9:M35)</f>
        <v>330300</v>
      </c>
      <c r="N40" s="201"/>
      <c r="O40" s="201"/>
      <c r="P40" s="201"/>
    </row>
    <row r="41" spans="1:16" s="2" customFormat="1" ht="9" customHeight="1" x14ac:dyDescent="0.2">
      <c r="A41" s="213" t="s">
        <v>209</v>
      </c>
      <c r="B41" s="214"/>
      <c r="C41" s="214"/>
      <c r="D41" s="214"/>
      <c r="E41" s="207" t="s">
        <v>231</v>
      </c>
      <c r="F41" s="207"/>
      <c r="G41" s="207"/>
      <c r="H41" s="198">
        <f>MAX(ADMIN!$C$2, ADMIN!$D$2 - (((K$40*K$7) / ADMIN!$B$2) * (ADMIN!$D$2 - ADMIN!$C$2)))</f>
        <v>4.3308333333333338E-2</v>
      </c>
      <c r="I41" s="198">
        <f>MAX(ADMIN!$C$2, ADMIN!$D$2 - (((L$40*L$7) / ADMIN!$B$2) * (ADMIN!$D$2 - ADMIN!$C$2)))</f>
        <v>3.8308333333333333E-2</v>
      </c>
      <c r="J41" s="198">
        <f>MAX(ADMIN!$C$2, ADMIN!$D$2 - (((M$40*M$7) / ADMIN!$B$2) * (ADMIN!$D$2 - ADMIN!$C$2)))</f>
        <v>2.2475000000000002E-2</v>
      </c>
      <c r="K41" s="174">
        <f>K40*H41</f>
        <v>17388.295833333334</v>
      </c>
      <c r="L41" s="174">
        <f t="shared" ref="L41:M41" si="6">L40*I41</f>
        <v>13436.647916666667</v>
      </c>
      <c r="M41" s="174">
        <f t="shared" si="6"/>
        <v>7423.4925000000003</v>
      </c>
    </row>
    <row r="42" spans="1:16" s="2" customFormat="1" ht="9" customHeight="1" x14ac:dyDescent="0.2">
      <c r="A42" s="214"/>
      <c r="B42" s="214"/>
      <c r="C42" s="214"/>
      <c r="D42" s="214"/>
      <c r="E42" s="207" t="s">
        <v>232</v>
      </c>
      <c r="F42" s="207"/>
      <c r="G42" s="207"/>
      <c r="H42" s="198">
        <f>MAX(ADMIN!$C$3, ADMIN!$D$3 - (((K$40*K$7) / ADMIN!$B$3) * (ADMIN!$D$3 - ADMIN!$C$3)))</f>
        <v>0.13884722222222223</v>
      </c>
      <c r="I42" s="198">
        <f>MAX(ADMIN!$C$3, ADMIN!$D$3 - (((L$40*L$7) / ADMIN!$B$3) * (ADMIN!$D$3 - ADMIN!$C$3)))</f>
        <v>0.13051388888888887</v>
      </c>
      <c r="J42" s="198">
        <f>MAX(ADMIN!$C$3, ADMIN!$D$3 - (((M$40*M$7) / ADMIN!$B$3) * (ADMIN!$D$3 - ADMIN!$C$3)))</f>
        <v>0.104125</v>
      </c>
      <c r="K42" s="174">
        <f>K40*H42</f>
        <v>55747.159722222226</v>
      </c>
      <c r="L42" s="174">
        <f t="shared" ref="L42:M42" si="7">L40*I42</f>
        <v>45777.746527777774</v>
      </c>
      <c r="M42" s="174">
        <f t="shared" si="7"/>
        <v>34392.487499999996</v>
      </c>
    </row>
    <row r="43" spans="1:16" s="2" customFormat="1" ht="9" customHeight="1" x14ac:dyDescent="0.2">
      <c r="A43" s="214"/>
      <c r="B43" s="214"/>
      <c r="C43" s="214"/>
      <c r="D43" s="214"/>
      <c r="E43" s="211" t="s">
        <v>229</v>
      </c>
      <c r="F43" s="211"/>
      <c r="G43" s="211"/>
      <c r="H43" s="211"/>
      <c r="I43" s="211"/>
      <c r="J43" s="211"/>
      <c r="K43" s="174">
        <f>SUM(K37:K39)</f>
        <v>0</v>
      </c>
      <c r="L43" s="174">
        <f t="shared" ref="L43" si="8">SUM(L37:L39)</f>
        <v>0</v>
      </c>
      <c r="M43" s="174">
        <f>SUM(M37:M39)</f>
        <v>0</v>
      </c>
    </row>
    <row r="44" spans="1:16" s="2" customFormat="1" ht="9" customHeight="1" x14ac:dyDescent="0.2">
      <c r="A44" s="214"/>
      <c r="B44" s="214"/>
      <c r="C44" s="214"/>
      <c r="D44" s="214"/>
      <c r="E44" s="207" t="s">
        <v>232</v>
      </c>
      <c r="F44" s="207"/>
      <c r="G44" s="207"/>
      <c r="H44" s="199">
        <f>MAX(ADMIN!$C$4, ADMIN!$D$4 - (((K$43*K$7) / ADMIN!$B$4) * (ADMIN!$D$4 - ADMIN!$C$4)))</f>
        <v>0.05</v>
      </c>
      <c r="I44" s="199">
        <f>MAX(ADMIN!$C$4, ADMIN!$D$4 - (((L$43*L$7) / ADMIN!$B$4) * (ADMIN!$D$4 - ADMIN!$C$4)))</f>
        <v>0.05</v>
      </c>
      <c r="J44" s="199">
        <f>MAX(ADMIN!$C$4, ADMIN!$D$4 - (((M$43*M$7) / ADMIN!$B$4) * (ADMIN!$D$4 - ADMIN!$C$4)))</f>
        <v>0.05</v>
      </c>
      <c r="K44" s="175">
        <f>K43*H44</f>
        <v>0</v>
      </c>
      <c r="L44" s="174">
        <f>L43*I44</f>
        <v>0</v>
      </c>
      <c r="M44" s="174">
        <f>M43*J44</f>
        <v>0</v>
      </c>
    </row>
    <row r="45" spans="1:16" s="2" customFormat="1" ht="9" customHeight="1" x14ac:dyDescent="0.2">
      <c r="A45" s="214"/>
      <c r="B45" s="214"/>
      <c r="C45" s="214"/>
      <c r="D45" s="214"/>
      <c r="E45" s="211" t="s">
        <v>11</v>
      </c>
      <c r="F45" s="211"/>
      <c r="G45" s="211"/>
      <c r="H45" s="211"/>
      <c r="I45" s="211"/>
      <c r="J45" s="211"/>
      <c r="K45" s="176">
        <f>SUM(K40:K44)</f>
        <v>474635.45555555559</v>
      </c>
      <c r="L45" s="176">
        <f>SUM(L40:L44)</f>
        <v>409964.39444444439</v>
      </c>
      <c r="M45" s="176">
        <f>SUM(M40:M44)</f>
        <v>372115.98</v>
      </c>
    </row>
    <row r="46" spans="1:16" s="2" customFormat="1" ht="9" customHeight="1" x14ac:dyDescent="0.2">
      <c r="A46" s="214"/>
      <c r="B46" s="214"/>
      <c r="C46" s="214"/>
      <c r="D46" s="214"/>
      <c r="E46" s="207" t="s">
        <v>233</v>
      </c>
      <c r="F46" s="207"/>
      <c r="G46" s="207"/>
      <c r="H46" s="200">
        <f>MAX(ADMIN!$C$5, ADMIN!$D$5 - (((K$40*K$7) / ADMIN!$B$5) * (ADMIN!$D$5 - ADMIN!$C$5)))</f>
        <v>0.44423611111111111</v>
      </c>
      <c r="I46" s="200">
        <f>MAX(ADMIN!$C$5, ADMIN!$D$5 - (((L$40*L$7) / ADMIN!$B$5) * (ADMIN!$D$5 - ADMIN!$C$5)))</f>
        <v>0.40256944444444442</v>
      </c>
      <c r="J46" s="200">
        <f>MAX(ADMIN!$C$5, ADMIN!$D$5 - (((M$40*M$7) / ADMIN!$B$5) * (ADMIN!$D$5 - ADMIN!$C$5)))</f>
        <v>0.270625</v>
      </c>
      <c r="K46" s="174">
        <f>IF(K40&gt;0, ((K40+K41+K42)/(1-H46)) - (K40+K41+K42), 0)</f>
        <v>379388.1056090077</v>
      </c>
      <c r="L46" s="174">
        <f t="shared" ref="L46:M46" si="9">IF(L40&gt;0, ((L40+L41+L42)/(1-I46)) - (L40+L41+L42), 0)</f>
        <v>276248.23835806624</v>
      </c>
      <c r="M46" s="174">
        <f t="shared" si="9"/>
        <v>138068.73979434447</v>
      </c>
    </row>
    <row r="47" spans="1:16" s="2" customFormat="1" ht="9" customHeight="1" x14ac:dyDescent="0.2">
      <c r="A47" s="214"/>
      <c r="B47" s="214"/>
      <c r="C47" s="214"/>
      <c r="D47" s="214"/>
      <c r="E47" s="207" t="s">
        <v>234</v>
      </c>
      <c r="F47" s="207"/>
      <c r="G47" s="207"/>
      <c r="H47" s="200">
        <f>MAX(ADMIN!$C$7, ADMIN!$D$7 - (((K$43*K$7) / ADMIN!$B$7) * (ADMIN!$D$7 - ADMIN!$C$7)))</f>
        <v>0.3</v>
      </c>
      <c r="I47" s="200">
        <f>MAX(ADMIN!$C$7, ADMIN!$D$7 - (((L$43*L$7) / ADMIN!$B$7) * (ADMIN!$D$7 - ADMIN!$C$7)))</f>
        <v>0.3</v>
      </c>
      <c r="J47" s="200">
        <f>MAX(ADMIN!$C$7, ADMIN!$D$7 - (((M$43*M$7) / ADMIN!$B$7) * (ADMIN!$D$7 - ADMIN!$C$7)))</f>
        <v>0.3</v>
      </c>
      <c r="K47" s="174">
        <f>IF(K43&gt;0, ((K43+K44)/(1-H47)) - (K43+K44), 0)</f>
        <v>0</v>
      </c>
      <c r="L47" s="174">
        <f t="shared" ref="L47:M47" si="10">IF(L43&gt;0, ((L43+L44)/(1-I47)) - (L43+L44), 0)</f>
        <v>0</v>
      </c>
      <c r="M47" s="174">
        <f t="shared" si="10"/>
        <v>0</v>
      </c>
    </row>
    <row r="48" spans="1:16" s="2" customFormat="1" ht="9" customHeight="1" x14ac:dyDescent="0.2">
      <c r="A48" s="214"/>
      <c r="B48" s="214"/>
      <c r="C48" s="214"/>
      <c r="D48" s="214"/>
      <c r="E48" s="211" t="s">
        <v>230</v>
      </c>
      <c r="F48" s="211"/>
      <c r="G48" s="211"/>
      <c r="H48" s="211"/>
      <c r="I48" s="211"/>
      <c r="J48" s="211"/>
      <c r="K48" s="174">
        <f>IF(K40&gt;0, (K40+K41+K42)/(1-H46), 0) + IF(K43&gt;0, (K43+K44)/(1-H47), 0)</f>
        <v>854023.56116456329</v>
      </c>
      <c r="L48" s="174">
        <f t="shared" ref="L48:M48" si="11">IF(L40&gt;0, (L40+L41+L42)/(1-I46), 0) + IF(L43&gt;0, (L43+L44)/(1-I47), 0)</f>
        <v>686212.63280251063</v>
      </c>
      <c r="M48" s="174">
        <f t="shared" si="11"/>
        <v>510184.71979434445</v>
      </c>
    </row>
    <row r="49" spans="1:16" s="2" customFormat="1" ht="9" customHeight="1" x14ac:dyDescent="0.2">
      <c r="A49" s="214"/>
      <c r="B49" s="214"/>
      <c r="C49" s="214"/>
      <c r="D49" s="214"/>
      <c r="E49" s="207" t="s">
        <v>235</v>
      </c>
      <c r="F49" s="207"/>
      <c r="G49" s="207"/>
      <c r="H49" s="173">
        <v>0</v>
      </c>
      <c r="I49" s="173">
        <v>0</v>
      </c>
      <c r="J49" s="173">
        <v>0</v>
      </c>
      <c r="K49" s="174">
        <f>IF(K51&gt;0, K51 * H49, 0)</f>
        <v>0</v>
      </c>
      <c r="L49" s="174">
        <f t="shared" ref="L49:M49" si="12">IF(L51&gt;0, L51 * I49, 0)</f>
        <v>0</v>
      </c>
      <c r="M49" s="174">
        <f t="shared" si="12"/>
        <v>0</v>
      </c>
    </row>
    <row r="50" spans="1:16" s="2" customFormat="1" ht="9" customHeight="1" x14ac:dyDescent="0.2">
      <c r="A50" s="214"/>
      <c r="B50" s="214"/>
      <c r="C50" s="214"/>
      <c r="D50" s="214"/>
      <c r="E50" s="207" t="s">
        <v>236</v>
      </c>
      <c r="F50" s="207"/>
      <c r="G50" s="207"/>
      <c r="H50" s="173">
        <v>0.03</v>
      </c>
      <c r="I50" s="173">
        <v>0.03</v>
      </c>
      <c r="J50" s="173">
        <v>0.03</v>
      </c>
      <c r="K50" s="174">
        <f>IF(K51&gt;0, K51 * H50, 0)</f>
        <v>26413.099829831852</v>
      </c>
      <c r="L50" s="174">
        <f t="shared" ref="L50:M50" si="13">IF(L51&gt;0, L51 * I50, 0)</f>
        <v>21223.07111760342</v>
      </c>
      <c r="M50" s="174">
        <f t="shared" si="13"/>
        <v>15778.908859618899</v>
      </c>
    </row>
    <row r="51" spans="1:16" s="2" customFormat="1" ht="9" customHeight="1" x14ac:dyDescent="0.2">
      <c r="A51" s="214"/>
      <c r="B51" s="214"/>
      <c r="C51" s="214"/>
      <c r="D51" s="214"/>
      <c r="E51" s="211" t="s">
        <v>155</v>
      </c>
      <c r="F51" s="211"/>
      <c r="G51" s="211"/>
      <c r="H51" s="211"/>
      <c r="I51" s="211"/>
      <c r="J51" s="211"/>
      <c r="K51" s="176">
        <f>IF(K48&gt;0, K48 / (1 - (H49 + H50)), 0)</f>
        <v>880436.66099439515</v>
      </c>
      <c r="L51" s="176">
        <f t="shared" ref="L51:M51" si="14">IF(L48&gt;0, L48 / (1 - (I49 + I50)), 0)</f>
        <v>707435.70392011409</v>
      </c>
      <c r="M51" s="176">
        <f t="shared" si="14"/>
        <v>525963.62865396333</v>
      </c>
      <c r="N51" s="202"/>
      <c r="O51" s="202"/>
      <c r="P51" s="202"/>
    </row>
    <row r="52" spans="1:16" s="2" customFormat="1" ht="9" customHeight="1" x14ac:dyDescent="0.2">
      <c r="A52" s="214"/>
      <c r="B52" s="214"/>
      <c r="C52" s="214"/>
      <c r="D52" s="214"/>
      <c r="E52" s="210" t="s">
        <v>124</v>
      </c>
      <c r="F52" s="210"/>
      <c r="G52" s="210"/>
      <c r="H52" s="210"/>
      <c r="I52" s="210"/>
      <c r="J52" s="210"/>
      <c r="K52" s="174">
        <f>K51*K7</f>
        <v>88043666.099439517</v>
      </c>
      <c r="L52" s="174">
        <f>L51*L7</f>
        <v>141487140.78402281</v>
      </c>
      <c r="M52" s="174">
        <f>M51*M7</f>
        <v>262981814.32698166</v>
      </c>
      <c r="N52" s="195"/>
    </row>
    <row r="53" spans="1:16" s="2" customFormat="1" ht="9" customHeight="1" x14ac:dyDescent="0.2">
      <c r="A53" s="214"/>
      <c r="B53" s="214"/>
      <c r="C53" s="214"/>
      <c r="D53" s="214"/>
      <c r="E53" s="206">
        <v>3100</v>
      </c>
      <c r="F53" s="206"/>
      <c r="G53" s="216" t="s">
        <v>253</v>
      </c>
      <c r="H53" s="216"/>
      <c r="I53" s="216"/>
      <c r="J53" s="216"/>
      <c r="K53" s="176">
        <f>K51/$E$53</f>
        <v>284.01182612722425</v>
      </c>
      <c r="L53" s="176">
        <f t="shared" ref="L53:M53" si="15">L51/$E$53</f>
        <v>228.20506578068196</v>
      </c>
      <c r="M53" s="176">
        <f t="shared" si="15"/>
        <v>169.66568666256882</v>
      </c>
      <c r="N53" s="195"/>
    </row>
    <row r="54" spans="1:16" ht="9" customHeight="1" x14ac:dyDescent="0.2">
      <c r="A54" s="214"/>
      <c r="B54" s="214"/>
      <c r="C54" s="214"/>
      <c r="D54" s="214"/>
      <c r="E54" s="210" t="s">
        <v>106</v>
      </c>
      <c r="F54" s="210"/>
      <c r="G54" s="210"/>
      <c r="H54" s="210"/>
      <c r="I54" s="210"/>
      <c r="J54" s="210"/>
      <c r="K54" s="177">
        <f>K53*K7</f>
        <v>28401.182612722427</v>
      </c>
      <c r="L54" s="177">
        <f>L53*L7</f>
        <v>45641.013156136396</v>
      </c>
      <c r="M54" s="177">
        <f>M53*M7</f>
        <v>84832.843331284414</v>
      </c>
    </row>
    <row r="55" spans="1:16" ht="9" customHeight="1" x14ac:dyDescent="0.2">
      <c r="A55" s="214"/>
      <c r="B55" s="214"/>
      <c r="C55" s="214"/>
      <c r="D55" s="214"/>
      <c r="E55" s="256" t="s">
        <v>122</v>
      </c>
      <c r="F55" s="256"/>
      <c r="G55" s="256"/>
      <c r="H55" s="256"/>
      <c r="I55" s="206" t="s">
        <v>139</v>
      </c>
      <c r="J55" s="206"/>
      <c r="K55" s="178">
        <v>0</v>
      </c>
      <c r="L55" s="178">
        <v>0</v>
      </c>
      <c r="M55" s="178">
        <v>0</v>
      </c>
    </row>
    <row r="56" spans="1:16" ht="9" customHeight="1" x14ac:dyDescent="0.2">
      <c r="A56" s="214"/>
      <c r="B56" s="214"/>
      <c r="C56" s="214"/>
      <c r="D56" s="214"/>
      <c r="E56" s="256" t="s">
        <v>122</v>
      </c>
      <c r="F56" s="256"/>
      <c r="G56" s="256"/>
      <c r="H56" s="256"/>
      <c r="I56" s="206" t="s">
        <v>123</v>
      </c>
      <c r="J56" s="206"/>
      <c r="K56" s="178">
        <v>0</v>
      </c>
      <c r="L56" s="178">
        <v>0</v>
      </c>
      <c r="M56" s="178">
        <v>0</v>
      </c>
    </row>
    <row r="57" spans="1:16" ht="9" customHeight="1" x14ac:dyDescent="0.2">
      <c r="A57" s="214"/>
      <c r="B57" s="214"/>
      <c r="C57" s="214"/>
      <c r="D57" s="214"/>
      <c r="E57" s="210" t="s">
        <v>103</v>
      </c>
      <c r="F57" s="210"/>
      <c r="G57" s="210"/>
      <c r="H57" s="210"/>
      <c r="I57" s="210"/>
      <c r="J57" s="210"/>
      <c r="K57" s="179">
        <v>0</v>
      </c>
      <c r="L57" s="179">
        <v>0</v>
      </c>
      <c r="M57" s="179">
        <v>0</v>
      </c>
    </row>
    <row r="58" spans="1:16" ht="9" customHeight="1" x14ac:dyDescent="0.2">
      <c r="A58" s="214"/>
      <c r="B58" s="214"/>
      <c r="C58" s="214"/>
      <c r="D58" s="214"/>
      <c r="E58" s="205" t="s">
        <v>146</v>
      </c>
      <c r="F58" s="205"/>
      <c r="G58" s="205"/>
      <c r="H58" s="205"/>
      <c r="I58" s="215">
        <v>0</v>
      </c>
      <c r="J58" s="215"/>
      <c r="K58" s="179">
        <v>0</v>
      </c>
      <c r="L58" s="179">
        <v>0</v>
      </c>
      <c r="M58" s="179">
        <v>0</v>
      </c>
    </row>
    <row r="59" spans="1:16" ht="9" customHeight="1" x14ac:dyDescent="0.2">
      <c r="A59" s="214"/>
      <c r="B59" s="214"/>
      <c r="C59" s="214"/>
      <c r="D59" s="214"/>
      <c r="E59" s="205" t="s">
        <v>147</v>
      </c>
      <c r="F59" s="205"/>
      <c r="G59" s="205"/>
      <c r="H59" s="205"/>
      <c r="I59" s="215">
        <v>0</v>
      </c>
      <c r="J59" s="215"/>
      <c r="K59" s="179">
        <v>0</v>
      </c>
      <c r="L59" s="179">
        <v>0</v>
      </c>
      <c r="M59" s="179">
        <v>0</v>
      </c>
    </row>
    <row r="60" spans="1:16" ht="9" customHeight="1" x14ac:dyDescent="0.2">
      <c r="A60" s="214"/>
      <c r="B60" s="214"/>
      <c r="C60" s="214"/>
      <c r="D60" s="214"/>
      <c r="E60" s="210" t="s">
        <v>108</v>
      </c>
      <c r="F60" s="210"/>
      <c r="G60" s="210"/>
      <c r="H60" s="210"/>
      <c r="I60" s="210"/>
      <c r="J60" s="210"/>
      <c r="K60" s="179">
        <v>0</v>
      </c>
      <c r="L60" s="179">
        <v>0</v>
      </c>
      <c r="M60" s="179">
        <v>0</v>
      </c>
    </row>
    <row r="61" spans="1:16" ht="9" customHeight="1" x14ac:dyDescent="0.2">
      <c r="A61" s="214"/>
      <c r="B61" s="214"/>
      <c r="C61" s="214"/>
      <c r="D61" s="214"/>
      <c r="E61" s="210" t="s">
        <v>109</v>
      </c>
      <c r="F61" s="210"/>
      <c r="G61" s="210"/>
      <c r="H61" s="210"/>
      <c r="I61" s="210"/>
      <c r="J61" s="210"/>
      <c r="K61" s="179">
        <v>0</v>
      </c>
      <c r="L61" s="179">
        <v>0</v>
      </c>
      <c r="M61" s="179">
        <v>0</v>
      </c>
    </row>
    <row r="62" spans="1:16" ht="9" customHeight="1" x14ac:dyDescent="0.2">
      <c r="A62" s="214"/>
      <c r="B62" s="214"/>
      <c r="C62" s="214"/>
      <c r="D62" s="214"/>
      <c r="E62" s="210" t="s">
        <v>145</v>
      </c>
      <c r="F62" s="210"/>
      <c r="G62" s="210"/>
      <c r="H62" s="210"/>
      <c r="I62" s="210"/>
      <c r="J62" s="210"/>
      <c r="K62" s="179">
        <v>0</v>
      </c>
      <c r="L62" s="179">
        <v>0</v>
      </c>
      <c r="M62" s="179">
        <v>0</v>
      </c>
    </row>
    <row r="63" spans="1:16" ht="9" customHeight="1" x14ac:dyDescent="0.2">
      <c r="A63" s="214"/>
      <c r="B63" s="214"/>
      <c r="C63" s="214"/>
      <c r="D63" s="214"/>
      <c r="E63" s="207" t="s">
        <v>107</v>
      </c>
      <c r="F63" s="207"/>
      <c r="G63" s="207"/>
      <c r="H63" s="207"/>
      <c r="I63" s="209" t="s">
        <v>136</v>
      </c>
      <c r="J63" s="209"/>
      <c r="K63" s="177">
        <f>SUM(K54:K62)</f>
        <v>28401.182612722427</v>
      </c>
      <c r="L63" s="177">
        <f t="shared" ref="L63:M63" si="16">SUM(L54:L62)</f>
        <v>45641.013156136396</v>
      </c>
      <c r="M63" s="177">
        <f t="shared" si="16"/>
        <v>84832.843331284414</v>
      </c>
    </row>
    <row r="64" spans="1:16" ht="9" customHeight="1" x14ac:dyDescent="0.2">
      <c r="A64" s="214"/>
      <c r="B64" s="214"/>
      <c r="C64" s="214"/>
      <c r="D64" s="214"/>
      <c r="E64" s="207" t="s">
        <v>144</v>
      </c>
      <c r="F64" s="207"/>
      <c r="G64" s="207"/>
      <c r="H64" s="207"/>
      <c r="I64" s="208">
        <v>0</v>
      </c>
      <c r="J64" s="209"/>
      <c r="K64" s="180">
        <f>IF(K$63&gt;0, K$63 / (1 - $I$64), 0)</f>
        <v>28401.182612722427</v>
      </c>
      <c r="L64" s="180">
        <f t="shared" ref="L64:M64" si="17">IF(L$63&gt;0, L$63 / (1 - $I$64), 0)</f>
        <v>45641.013156136396</v>
      </c>
      <c r="M64" s="180">
        <f t="shared" si="17"/>
        <v>84832.843331284414</v>
      </c>
    </row>
    <row r="65" spans="1:13" ht="9" customHeight="1" x14ac:dyDescent="0.2">
      <c r="A65" s="214"/>
      <c r="B65" s="214"/>
      <c r="C65" s="214"/>
      <c r="D65" s="214"/>
      <c r="E65" s="207" t="s">
        <v>142</v>
      </c>
      <c r="F65" s="207"/>
      <c r="G65" s="207"/>
      <c r="H65" s="207"/>
      <c r="I65" s="208">
        <v>0.03</v>
      </c>
      <c r="J65" s="209"/>
      <c r="K65" s="180">
        <f>IF(K$63&gt;0, K$63 / (1 - $I$65), 0)</f>
        <v>29279.569703837555</v>
      </c>
      <c r="L65" s="180">
        <f t="shared" ref="L65:M65" si="18">IF(L$63&gt;0, L$63 / (1 - $I$65), 0)</f>
        <v>47052.590882614844</v>
      </c>
      <c r="M65" s="180">
        <f t="shared" si="18"/>
        <v>87456.539516788063</v>
      </c>
    </row>
    <row r="66" spans="1:13" ht="9" customHeight="1" x14ac:dyDescent="0.2">
      <c r="A66" s="214"/>
      <c r="B66" s="214"/>
      <c r="C66" s="214"/>
      <c r="D66" s="214"/>
      <c r="E66" s="207" t="s">
        <v>143</v>
      </c>
      <c r="F66" s="207"/>
      <c r="G66" s="207"/>
      <c r="H66" s="207"/>
      <c r="I66" s="208">
        <v>0.06</v>
      </c>
      <c r="J66" s="209"/>
      <c r="K66" s="180">
        <f>IF(K$63&gt;0, K$63 / (1 - $I$66), 0)</f>
        <v>30214.024056087688</v>
      </c>
      <c r="L66" s="180">
        <f t="shared" ref="L66:M66" si="19">IF(L$63&gt;0, L$63 / (1 - $I$66), 0)</f>
        <v>48554.26931503872</v>
      </c>
      <c r="M66" s="180">
        <f t="shared" si="19"/>
        <v>90247.70567157917</v>
      </c>
    </row>
  </sheetData>
  <sheetProtection selectLockedCells="1"/>
  <dataConsolidate topLabels="1">
    <dataRefs count="1">
      <dataRef ref="H12" sheet="FLOOR DISPLAY CON 7 CAMBIOS"/>
    </dataRefs>
  </dataConsolidate>
  <mergeCells count="177">
    <mergeCell ref="E52:J52"/>
    <mergeCell ref="E53:F53"/>
    <mergeCell ref="G53:J53"/>
    <mergeCell ref="E41:G41"/>
    <mergeCell ref="E42:G42"/>
    <mergeCell ref="E50:G50"/>
    <mergeCell ref="E59:H59"/>
    <mergeCell ref="E60:J60"/>
    <mergeCell ref="E62:J62"/>
    <mergeCell ref="E54:J54"/>
    <mergeCell ref="E55:H55"/>
    <mergeCell ref="I55:J55"/>
    <mergeCell ref="E56:H56"/>
    <mergeCell ref="I56:J56"/>
    <mergeCell ref="E57:J57"/>
    <mergeCell ref="E51:J51"/>
    <mergeCell ref="A33:C33"/>
    <mergeCell ref="E33:F33"/>
    <mergeCell ref="G33:H33"/>
    <mergeCell ref="I33:J33"/>
    <mergeCell ref="A34:C34"/>
    <mergeCell ref="E34:F34"/>
    <mergeCell ref="G34:H34"/>
    <mergeCell ref="I34:J34"/>
    <mergeCell ref="A37:C37"/>
    <mergeCell ref="E37:F37"/>
    <mergeCell ref="G37:H37"/>
    <mergeCell ref="I37:J37"/>
    <mergeCell ref="A35:C35"/>
    <mergeCell ref="E35:F35"/>
    <mergeCell ref="G35:H35"/>
    <mergeCell ref="I35:J35"/>
    <mergeCell ref="A31:C31"/>
    <mergeCell ref="E31:F31"/>
    <mergeCell ref="G31:H31"/>
    <mergeCell ref="I31:J31"/>
    <mergeCell ref="A32:C32"/>
    <mergeCell ref="E32:F32"/>
    <mergeCell ref="G32:H32"/>
    <mergeCell ref="I32:J32"/>
    <mergeCell ref="A29:C29"/>
    <mergeCell ref="E29:F29"/>
    <mergeCell ref="G29:H29"/>
    <mergeCell ref="I29:J29"/>
    <mergeCell ref="A30:C30"/>
    <mergeCell ref="E30:F30"/>
    <mergeCell ref="G30:H30"/>
    <mergeCell ref="I30:J30"/>
    <mergeCell ref="A27:C27"/>
    <mergeCell ref="E27:F27"/>
    <mergeCell ref="G27:H27"/>
    <mergeCell ref="I27:J27"/>
    <mergeCell ref="A28:C28"/>
    <mergeCell ref="E28:F28"/>
    <mergeCell ref="G28:H28"/>
    <mergeCell ref="I28:J28"/>
    <mergeCell ref="A25:C25"/>
    <mergeCell ref="E25:F25"/>
    <mergeCell ref="G25:H25"/>
    <mergeCell ref="I25:J25"/>
    <mergeCell ref="A26:C26"/>
    <mergeCell ref="E26:F26"/>
    <mergeCell ref="G26:H26"/>
    <mergeCell ref="I26:J26"/>
    <mergeCell ref="A23:C23"/>
    <mergeCell ref="E23:F23"/>
    <mergeCell ref="G23:H23"/>
    <mergeCell ref="I23:J23"/>
    <mergeCell ref="A24:C24"/>
    <mergeCell ref="E24:F24"/>
    <mergeCell ref="G24:H24"/>
    <mergeCell ref="I24:J24"/>
    <mergeCell ref="A21:C21"/>
    <mergeCell ref="E21:F21"/>
    <mergeCell ref="G21:H21"/>
    <mergeCell ref="I21:J21"/>
    <mergeCell ref="A22:C22"/>
    <mergeCell ref="E22:F22"/>
    <mergeCell ref="G22:H22"/>
    <mergeCell ref="I22:J22"/>
    <mergeCell ref="A19:C19"/>
    <mergeCell ref="E19:F19"/>
    <mergeCell ref="G19:H19"/>
    <mergeCell ref="I19:J19"/>
    <mergeCell ref="A20:C20"/>
    <mergeCell ref="E20:F20"/>
    <mergeCell ref="G20:H20"/>
    <mergeCell ref="I20:J20"/>
    <mergeCell ref="A17:C17"/>
    <mergeCell ref="E17:F17"/>
    <mergeCell ref="G17:H17"/>
    <mergeCell ref="I17:J17"/>
    <mergeCell ref="A18:C18"/>
    <mergeCell ref="E18:F18"/>
    <mergeCell ref="G18:H18"/>
    <mergeCell ref="I18:J18"/>
    <mergeCell ref="A14:C14"/>
    <mergeCell ref="E14:F14"/>
    <mergeCell ref="G14:H14"/>
    <mergeCell ref="I14:J14"/>
    <mergeCell ref="I10:J10"/>
    <mergeCell ref="A9:M9"/>
    <mergeCell ref="A11:C11"/>
    <mergeCell ref="E11:F11"/>
    <mergeCell ref="G11:H11"/>
    <mergeCell ref="E66:H66"/>
    <mergeCell ref="I66:J66"/>
    <mergeCell ref="A41:D66"/>
    <mergeCell ref="A1:M1"/>
    <mergeCell ref="C2:F2"/>
    <mergeCell ref="G2:J2"/>
    <mergeCell ref="K2:M2"/>
    <mergeCell ref="A3:A4"/>
    <mergeCell ref="C3:F3"/>
    <mergeCell ref="G3:J3"/>
    <mergeCell ref="K3:M3"/>
    <mergeCell ref="C4:F4"/>
    <mergeCell ref="G4:J4"/>
    <mergeCell ref="K4:M4"/>
    <mergeCell ref="A5:M5"/>
    <mergeCell ref="A6:C8"/>
    <mergeCell ref="D6:D8"/>
    <mergeCell ref="E6:J6"/>
    <mergeCell ref="K6:M6"/>
    <mergeCell ref="G7:H7"/>
    <mergeCell ref="I7:J7"/>
    <mergeCell ref="E8:J8"/>
    <mergeCell ref="A15:C15"/>
    <mergeCell ref="E15:F15"/>
    <mergeCell ref="E7:F7"/>
    <mergeCell ref="K8:M8"/>
    <mergeCell ref="A10:C10"/>
    <mergeCell ref="E10:F10"/>
    <mergeCell ref="G10:H10"/>
    <mergeCell ref="A36:M36"/>
    <mergeCell ref="E43:J43"/>
    <mergeCell ref="E47:G47"/>
    <mergeCell ref="E48:J48"/>
    <mergeCell ref="I11:J11"/>
    <mergeCell ref="A12:C12"/>
    <mergeCell ref="E12:F12"/>
    <mergeCell ref="G12:H12"/>
    <mergeCell ref="I12:J12"/>
    <mergeCell ref="G15:H15"/>
    <mergeCell ref="I15:J15"/>
    <mergeCell ref="A16:C16"/>
    <mergeCell ref="E16:F16"/>
    <mergeCell ref="G16:H16"/>
    <mergeCell ref="I16:J16"/>
    <mergeCell ref="A13:C13"/>
    <mergeCell ref="E13:F13"/>
    <mergeCell ref="G13:H13"/>
    <mergeCell ref="I13:J13"/>
    <mergeCell ref="E64:H64"/>
    <mergeCell ref="I64:J64"/>
    <mergeCell ref="E65:H65"/>
    <mergeCell ref="I65:J65"/>
    <mergeCell ref="A38:C38"/>
    <mergeCell ref="E38:F38"/>
    <mergeCell ref="G38:H38"/>
    <mergeCell ref="I38:J38"/>
    <mergeCell ref="E44:G44"/>
    <mergeCell ref="E45:J45"/>
    <mergeCell ref="E46:G46"/>
    <mergeCell ref="E63:H63"/>
    <mergeCell ref="I63:J63"/>
    <mergeCell ref="E61:J61"/>
    <mergeCell ref="E58:H58"/>
    <mergeCell ref="I58:J58"/>
    <mergeCell ref="I59:J59"/>
    <mergeCell ref="E49:G49"/>
    <mergeCell ref="A39:C39"/>
    <mergeCell ref="E39:F39"/>
    <mergeCell ref="G39:H39"/>
    <mergeCell ref="I39:J39"/>
    <mergeCell ref="A40:D40"/>
    <mergeCell ref="E40:J40"/>
  </mergeCells>
  <printOptions horizontalCentered="1" verticalCentered="1"/>
  <pageMargins left="0.39370078740157483" right="0.39370078740157483" top="0.39370078740157483" bottom="0.39370078740157483" header="0" footer="0"/>
  <pageSetup orientation="landscape" horizontalDpi="360" verticalDpi="36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2C7EF-7F6C-4487-A1DF-0156D2BD9791}">
  <dimension ref="A1:F11"/>
  <sheetViews>
    <sheetView workbookViewId="0">
      <selection activeCell="B2" sqref="B2:B8"/>
    </sheetView>
  </sheetViews>
  <sheetFormatPr baseColWidth="10" defaultRowHeight="12.75" x14ac:dyDescent="0.2"/>
  <cols>
    <col min="1" max="1" width="33.140625" bestFit="1" customWidth="1"/>
    <col min="2" max="2" width="24.85546875" style="196" bestFit="1" customWidth="1"/>
    <col min="3" max="3" width="15" style="197" bestFit="1" customWidth="1"/>
    <col min="4" max="4" width="15.5703125" style="197" bestFit="1" customWidth="1"/>
    <col min="5" max="5" width="20.42578125" style="196" bestFit="1" customWidth="1"/>
    <col min="6" max="6" width="13.42578125" customWidth="1"/>
  </cols>
  <sheetData>
    <row r="1" spans="1:6" x14ac:dyDescent="0.2">
      <c r="A1" s="108" t="s">
        <v>254</v>
      </c>
      <c r="B1" s="203" t="s">
        <v>257</v>
      </c>
      <c r="C1" s="204" t="s">
        <v>258</v>
      </c>
      <c r="D1" s="204" t="s">
        <v>259</v>
      </c>
      <c r="E1" s="203" t="s">
        <v>267</v>
      </c>
      <c r="F1" s="108" t="s">
        <v>268</v>
      </c>
    </row>
    <row r="2" spans="1:6" x14ac:dyDescent="0.2">
      <c r="A2" t="s">
        <v>260</v>
      </c>
      <c r="B2" s="196">
        <v>180000000</v>
      </c>
      <c r="C2" s="197">
        <v>0.02</v>
      </c>
      <c r="D2" s="197">
        <v>0.05</v>
      </c>
    </row>
    <row r="3" spans="1:6" x14ac:dyDescent="0.2">
      <c r="A3" t="s">
        <v>255</v>
      </c>
      <c r="B3" s="196">
        <v>180000000</v>
      </c>
      <c r="C3" s="197">
        <v>0.1</v>
      </c>
      <c r="D3" s="197">
        <v>0.15</v>
      </c>
    </row>
    <row r="4" spans="1:6" x14ac:dyDescent="0.2">
      <c r="A4" t="s">
        <v>256</v>
      </c>
      <c r="B4" s="196">
        <v>180000000</v>
      </c>
      <c r="C4" s="197">
        <v>0.02</v>
      </c>
      <c r="D4" s="197">
        <v>0.05</v>
      </c>
    </row>
    <row r="5" spans="1:6" x14ac:dyDescent="0.2">
      <c r="A5" t="s">
        <v>261</v>
      </c>
      <c r="B5" s="196">
        <v>180000000</v>
      </c>
      <c r="C5" s="197">
        <v>0.25</v>
      </c>
      <c r="D5" s="197">
        <v>0.5</v>
      </c>
    </row>
    <row r="6" spans="1:6" x14ac:dyDescent="0.2">
      <c r="A6" t="s">
        <v>262</v>
      </c>
      <c r="B6" s="196">
        <v>180000000</v>
      </c>
      <c r="C6" s="197">
        <v>0.3</v>
      </c>
      <c r="D6" s="197">
        <v>0.55000000000000004</v>
      </c>
    </row>
    <row r="7" spans="1:6" x14ac:dyDescent="0.2">
      <c r="A7" t="s">
        <v>263</v>
      </c>
      <c r="B7" s="196">
        <v>180000000</v>
      </c>
      <c r="C7" s="197">
        <v>0.15</v>
      </c>
      <c r="D7" s="197">
        <v>0.3</v>
      </c>
    </row>
    <row r="8" spans="1:6" x14ac:dyDescent="0.2">
      <c r="A8" t="s">
        <v>264</v>
      </c>
      <c r="B8" s="196">
        <v>180000000</v>
      </c>
      <c r="C8" s="197">
        <v>0.2</v>
      </c>
      <c r="D8" s="197">
        <v>0.35</v>
      </c>
    </row>
    <row r="9" spans="1:6" x14ac:dyDescent="0.2">
      <c r="A9" s="104" t="s">
        <v>265</v>
      </c>
      <c r="B9" s="196">
        <f>((E9*(1-F9))*(1-C5))/(1+C2+C3)</f>
        <v>190848214.28571427</v>
      </c>
      <c r="D9"/>
      <c r="E9" s="196">
        <v>300000000</v>
      </c>
      <c r="F9" s="197">
        <v>0.05</v>
      </c>
    </row>
    <row r="10" spans="1:6" x14ac:dyDescent="0.2">
      <c r="A10" s="104" t="s">
        <v>266</v>
      </c>
      <c r="B10" s="196">
        <f>((E10*(1-F10))*(1-C6))/(1+C2+C3)</f>
        <v>59374999.999999985</v>
      </c>
      <c r="E10" s="196">
        <v>100000000</v>
      </c>
      <c r="F10" s="197">
        <v>0.05</v>
      </c>
    </row>
    <row r="11" spans="1:6" x14ac:dyDescent="0.2">
      <c r="A11" s="10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AH315"/>
  <sheetViews>
    <sheetView workbookViewId="0">
      <selection activeCell="O62" sqref="O62"/>
    </sheetView>
  </sheetViews>
  <sheetFormatPr baseColWidth="10" defaultRowHeight="12.75" x14ac:dyDescent="0.2"/>
  <cols>
    <col min="1" max="1" width="2.5703125" customWidth="1"/>
    <col min="2" max="6" width="5.42578125" customWidth="1"/>
    <col min="7" max="8" width="10.5703125" customWidth="1"/>
    <col min="9" max="9" width="2.140625" customWidth="1"/>
    <col min="10" max="10" width="2.5703125" customWidth="1"/>
    <col min="11" max="14" width="5.42578125" customWidth="1"/>
    <col min="15" max="16" width="10.5703125" customWidth="1"/>
    <col min="17" max="17" width="4" customWidth="1"/>
    <col min="18" max="18" width="2.5703125" customWidth="1"/>
    <col min="19" max="19" width="0" hidden="1" customWidth="1"/>
    <col min="20" max="26" width="5.42578125" customWidth="1"/>
    <col min="27" max="27" width="3" customWidth="1"/>
    <col min="28" max="28" width="2.5703125" customWidth="1"/>
    <col min="29" max="34" width="5.42578125" customWidth="1"/>
  </cols>
  <sheetData>
    <row r="1" spans="1:34" ht="11.1" customHeight="1" x14ac:dyDescent="0.2">
      <c r="A1" s="309" t="s">
        <v>13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10"/>
    </row>
    <row r="2" spans="1:34" ht="11.1" customHeight="1" x14ac:dyDescent="0.2">
      <c r="A2" s="310"/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10"/>
    </row>
    <row r="3" spans="1:34" ht="11.1" customHeight="1" x14ac:dyDescent="0.2">
      <c r="A3" s="285" t="s">
        <v>207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93"/>
      <c r="R3" s="9"/>
    </row>
    <row r="4" spans="1:34" ht="11.1" customHeight="1" x14ac:dyDescent="0.2">
      <c r="A4" s="286"/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54"/>
      <c r="R4" s="54"/>
      <c r="S4" s="9"/>
    </row>
    <row r="5" spans="1:34" ht="11.1" customHeight="1" x14ac:dyDescent="0.2">
      <c r="A5" s="67"/>
      <c r="B5" s="64" t="s">
        <v>14</v>
      </c>
      <c r="C5" s="64" t="s">
        <v>15</v>
      </c>
      <c r="D5" s="64" t="s">
        <v>16</v>
      </c>
      <c r="E5" s="64" t="s">
        <v>17</v>
      </c>
      <c r="F5" s="64" t="s">
        <v>18</v>
      </c>
      <c r="G5" s="64" t="s">
        <v>19</v>
      </c>
      <c r="H5" s="65" t="s">
        <v>12</v>
      </c>
      <c r="I5" s="11"/>
      <c r="J5" s="64"/>
      <c r="K5" s="64" t="s">
        <v>14</v>
      </c>
      <c r="L5" s="64" t="s">
        <v>16</v>
      </c>
      <c r="M5" s="64" t="s">
        <v>20</v>
      </c>
      <c r="N5" s="64" t="s">
        <v>18</v>
      </c>
      <c r="O5" s="64" t="s">
        <v>19</v>
      </c>
      <c r="P5" s="65" t="s">
        <v>12</v>
      </c>
      <c r="Q5" s="11"/>
      <c r="R5" s="257" t="s">
        <v>21</v>
      </c>
      <c r="S5" s="76"/>
      <c r="T5" s="64" t="s">
        <v>14</v>
      </c>
      <c r="U5" s="64" t="s">
        <v>15</v>
      </c>
      <c r="V5" s="64" t="s">
        <v>16</v>
      </c>
      <c r="W5" s="64" t="s">
        <v>17</v>
      </c>
      <c r="X5" s="64" t="s">
        <v>18</v>
      </c>
      <c r="Y5" s="307" t="s">
        <v>19</v>
      </c>
      <c r="Z5" s="307"/>
      <c r="AB5" s="317" t="s">
        <v>22</v>
      </c>
      <c r="AC5" s="64" t="s">
        <v>14</v>
      </c>
      <c r="AD5" s="64" t="s">
        <v>16</v>
      </c>
      <c r="AE5" s="64" t="s">
        <v>20</v>
      </c>
      <c r="AF5" s="64" t="s">
        <v>18</v>
      </c>
      <c r="AG5" s="315" t="s">
        <v>19</v>
      </c>
      <c r="AH5" s="316"/>
    </row>
    <row r="6" spans="1:34" ht="11.1" customHeight="1" x14ac:dyDescent="0.2">
      <c r="A6" s="291" t="s">
        <v>21</v>
      </c>
      <c r="B6" s="68" t="s">
        <v>23</v>
      </c>
      <c r="C6" s="12">
        <v>0</v>
      </c>
      <c r="D6" s="13">
        <v>0</v>
      </c>
      <c r="E6" s="13">
        <v>0</v>
      </c>
      <c r="F6" s="13">
        <v>0</v>
      </c>
      <c r="G6" s="64">
        <f>Y6*(C6+D6+E6+F6)</f>
        <v>0</v>
      </c>
      <c r="H6" s="66">
        <f>(C6*U6)+(D6*V6)+(E6*W6)+(F6*X6)</f>
        <v>0</v>
      </c>
      <c r="I6" s="14"/>
      <c r="J6" s="257" t="s">
        <v>22</v>
      </c>
      <c r="K6" s="70" t="s">
        <v>24</v>
      </c>
      <c r="L6" s="13">
        <v>0</v>
      </c>
      <c r="M6" s="13">
        <v>0</v>
      </c>
      <c r="N6" s="13">
        <v>0</v>
      </c>
      <c r="O6" s="64">
        <f>AG6*(L6+M6+N6)</f>
        <v>0</v>
      </c>
      <c r="P6" s="64">
        <f>L6*AD6+M6*AE6+N6*AF6</f>
        <v>0</v>
      </c>
      <c r="Q6" s="54"/>
      <c r="R6" s="257"/>
      <c r="S6" s="76"/>
      <c r="T6" s="68" t="s">
        <v>23</v>
      </c>
      <c r="U6" s="48"/>
      <c r="V6" s="48">
        <v>2533</v>
      </c>
      <c r="W6" s="48">
        <v>3333</v>
      </c>
      <c r="X6" s="48"/>
      <c r="Y6" s="313">
        <v>800</v>
      </c>
      <c r="Z6" s="314"/>
      <c r="AB6" s="317"/>
      <c r="AC6" s="70" t="s">
        <v>24</v>
      </c>
      <c r="AD6" s="13">
        <v>3333</v>
      </c>
      <c r="AE6" s="13">
        <v>4583</v>
      </c>
      <c r="AF6" s="13"/>
      <c r="AG6" s="279">
        <f>0.07*W56</f>
        <v>980.00000000000011</v>
      </c>
      <c r="AH6" s="280"/>
    </row>
    <row r="7" spans="1:34" ht="11.1" customHeight="1" x14ac:dyDescent="0.2">
      <c r="A7" s="291"/>
      <c r="B7" s="69" t="s">
        <v>25</v>
      </c>
      <c r="C7" s="12">
        <v>0</v>
      </c>
      <c r="D7" s="13">
        <v>0</v>
      </c>
      <c r="E7" s="13">
        <v>0</v>
      </c>
      <c r="F7" s="13">
        <v>0</v>
      </c>
      <c r="G7" s="64">
        <f t="shared" ref="G7:G18" si="0">Y7*(C7+D7+E7+F7)</f>
        <v>0</v>
      </c>
      <c r="H7" s="66">
        <f t="shared" ref="H7:H18" si="1">(C7*U7)+(D7*V7)+(E7*W7)+(F7*X7)</f>
        <v>0</v>
      </c>
      <c r="I7" s="15"/>
      <c r="J7" s="257"/>
      <c r="K7" s="69" t="s">
        <v>26</v>
      </c>
      <c r="L7" s="13">
        <v>0</v>
      </c>
      <c r="M7" s="13">
        <v>0</v>
      </c>
      <c r="N7" s="13">
        <v>0</v>
      </c>
      <c r="O7" s="64">
        <f>AG7*(L7+M7+N7)</f>
        <v>0</v>
      </c>
      <c r="P7" s="64">
        <f>L7*AD7+M7*AE7+N7*AF7</f>
        <v>0</v>
      </c>
      <c r="Q7" s="54"/>
      <c r="R7" s="257"/>
      <c r="S7" s="76"/>
      <c r="T7" s="69" t="s">
        <v>25</v>
      </c>
      <c r="U7" s="48"/>
      <c r="V7" s="48"/>
      <c r="W7" s="48"/>
      <c r="X7" s="48"/>
      <c r="Y7" s="313">
        <v>800</v>
      </c>
      <c r="Z7" s="314"/>
      <c r="AB7" s="317"/>
      <c r="AC7" s="69" t="s">
        <v>26</v>
      </c>
      <c r="AD7" s="13"/>
      <c r="AE7" s="13">
        <v>6302</v>
      </c>
      <c r="AF7" s="13"/>
      <c r="AG7" s="298">
        <v>750</v>
      </c>
      <c r="AH7" s="299"/>
    </row>
    <row r="8" spans="1:34" ht="11.1" customHeight="1" x14ac:dyDescent="0.2">
      <c r="A8" s="291"/>
      <c r="B8" s="70" t="s">
        <v>27</v>
      </c>
      <c r="C8" s="12">
        <v>0</v>
      </c>
      <c r="D8" s="13">
        <v>0</v>
      </c>
      <c r="E8" s="13">
        <v>0</v>
      </c>
      <c r="F8" s="13">
        <v>0</v>
      </c>
      <c r="G8" s="64">
        <f t="shared" si="0"/>
        <v>0</v>
      </c>
      <c r="H8" s="66">
        <f t="shared" si="1"/>
        <v>0</v>
      </c>
      <c r="I8" s="9"/>
      <c r="J8" s="257"/>
      <c r="K8" s="64" t="s">
        <v>28</v>
      </c>
      <c r="L8" s="13">
        <v>0</v>
      </c>
      <c r="M8" s="13">
        <v>0</v>
      </c>
      <c r="N8" s="13">
        <v>0</v>
      </c>
      <c r="O8" s="64">
        <f>AG8*(L8+M8+N8)</f>
        <v>0</v>
      </c>
      <c r="P8" s="64">
        <f>L8*AD8+M8*AE8+N8*AF8</f>
        <v>0</v>
      </c>
      <c r="Q8" s="54"/>
      <c r="R8" s="257"/>
      <c r="S8" s="76"/>
      <c r="T8" s="70" t="s">
        <v>27</v>
      </c>
      <c r="U8" s="48"/>
      <c r="V8" s="48">
        <v>3750</v>
      </c>
      <c r="W8" s="48">
        <v>4750</v>
      </c>
      <c r="X8" s="48">
        <v>6000</v>
      </c>
      <c r="Y8" s="300">
        <f>W56*0.08</f>
        <v>1120</v>
      </c>
      <c r="Z8" s="301"/>
      <c r="AB8" s="317"/>
      <c r="AC8" s="64" t="s">
        <v>28</v>
      </c>
      <c r="AD8" s="13">
        <v>5833</v>
      </c>
      <c r="AE8" s="13">
        <v>7333</v>
      </c>
      <c r="AF8" s="13">
        <v>10000</v>
      </c>
      <c r="AG8" s="279">
        <f>W56*0.12</f>
        <v>1680</v>
      </c>
      <c r="AH8" s="280"/>
    </row>
    <row r="9" spans="1:34" ht="11.1" customHeight="1" x14ac:dyDescent="0.2">
      <c r="A9" s="291"/>
      <c r="B9" s="69" t="s">
        <v>29</v>
      </c>
      <c r="C9" s="12">
        <v>0</v>
      </c>
      <c r="D9" s="13">
        <v>0</v>
      </c>
      <c r="E9" s="13">
        <v>0</v>
      </c>
      <c r="F9" s="13">
        <v>0</v>
      </c>
      <c r="G9" s="64">
        <f t="shared" si="0"/>
        <v>0</v>
      </c>
      <c r="H9" s="66">
        <f t="shared" si="1"/>
        <v>0</v>
      </c>
      <c r="I9" s="9"/>
      <c r="J9" s="257"/>
      <c r="K9" s="64" t="s">
        <v>30</v>
      </c>
      <c r="L9" s="13">
        <v>0</v>
      </c>
      <c r="M9" s="13">
        <v>0</v>
      </c>
      <c r="N9" s="13">
        <v>0</v>
      </c>
      <c r="O9" s="64">
        <f>AG9*(L9+M9+N9)</f>
        <v>0</v>
      </c>
      <c r="P9" s="64">
        <f>L9*AD9+M9*AE9+N9*AF9</f>
        <v>0</v>
      </c>
      <c r="Q9" s="54"/>
      <c r="R9" s="257"/>
      <c r="S9" s="76"/>
      <c r="T9" s="69" t="s">
        <v>29</v>
      </c>
      <c r="U9" s="48"/>
      <c r="V9" s="48"/>
      <c r="W9" s="48"/>
      <c r="X9" s="48"/>
      <c r="Y9" s="300">
        <f>W56*0.09</f>
        <v>1260</v>
      </c>
      <c r="Z9" s="301"/>
      <c r="AB9" s="317"/>
      <c r="AC9" s="64" t="s">
        <v>30</v>
      </c>
      <c r="AD9" s="13">
        <v>7166</v>
      </c>
      <c r="AE9" s="13">
        <v>9166</v>
      </c>
      <c r="AF9" s="13">
        <v>12333</v>
      </c>
      <c r="AG9" s="279">
        <f>W56*0.15</f>
        <v>2100</v>
      </c>
      <c r="AH9" s="280"/>
    </row>
    <row r="10" spans="1:34" ht="11.1" customHeight="1" x14ac:dyDescent="0.2">
      <c r="A10" s="291"/>
      <c r="B10" s="64" t="s">
        <v>31</v>
      </c>
      <c r="C10" s="12">
        <v>0</v>
      </c>
      <c r="D10" s="13">
        <v>0</v>
      </c>
      <c r="E10" s="13">
        <v>0</v>
      </c>
      <c r="F10" s="13">
        <v>0</v>
      </c>
      <c r="G10" s="64">
        <f t="shared" si="0"/>
        <v>0</v>
      </c>
      <c r="H10" s="66">
        <f t="shared" si="1"/>
        <v>0</v>
      </c>
      <c r="I10" s="7"/>
      <c r="J10" s="257"/>
      <c r="K10" s="64" t="s">
        <v>32</v>
      </c>
      <c r="L10" s="13">
        <v>0</v>
      </c>
      <c r="M10" s="13">
        <v>0</v>
      </c>
      <c r="N10" s="13">
        <v>0</v>
      </c>
      <c r="O10" s="64">
        <f>AG10*(L10+M10+N10)</f>
        <v>0</v>
      </c>
      <c r="P10" s="64">
        <f>L10*AD10+M10*AE10+N10*AF10</f>
        <v>0</v>
      </c>
      <c r="Q10" s="54"/>
      <c r="R10" s="257"/>
      <c r="S10" s="76"/>
      <c r="T10" s="64" t="s">
        <v>31</v>
      </c>
      <c r="U10" s="48"/>
      <c r="V10" s="48">
        <v>4666</v>
      </c>
      <c r="W10" s="48">
        <v>5833</v>
      </c>
      <c r="X10" s="48">
        <v>7833</v>
      </c>
      <c r="Y10" s="300">
        <f>W56*0.1</f>
        <v>1400</v>
      </c>
      <c r="Z10" s="301"/>
      <c r="AB10" s="317"/>
      <c r="AC10" s="64" t="s">
        <v>32</v>
      </c>
      <c r="AD10" s="13">
        <v>10075</v>
      </c>
      <c r="AE10" s="13">
        <v>11204</v>
      </c>
      <c r="AF10" s="13">
        <v>12333</v>
      </c>
      <c r="AG10" s="279">
        <f>W56*0.232</f>
        <v>3248</v>
      </c>
      <c r="AH10" s="280"/>
    </row>
    <row r="11" spans="1:34" ht="11.1" customHeight="1" x14ac:dyDescent="0.2">
      <c r="A11" s="291"/>
      <c r="B11" s="64" t="s">
        <v>33</v>
      </c>
      <c r="C11" s="12">
        <v>0</v>
      </c>
      <c r="D11" s="13">
        <v>0</v>
      </c>
      <c r="E11" s="13">
        <v>0</v>
      </c>
      <c r="F11" s="13">
        <v>0</v>
      </c>
      <c r="G11" s="64">
        <f t="shared" si="0"/>
        <v>0</v>
      </c>
      <c r="H11" s="66">
        <f t="shared" si="1"/>
        <v>0</v>
      </c>
      <c r="I11" s="9"/>
      <c r="J11" s="257"/>
      <c r="K11" s="64" t="s">
        <v>34</v>
      </c>
      <c r="L11" s="13">
        <v>0</v>
      </c>
      <c r="M11" s="13">
        <v>0</v>
      </c>
      <c r="N11" s="13">
        <v>0</v>
      </c>
      <c r="O11" s="13">
        <v>0</v>
      </c>
      <c r="P11" s="64">
        <f>L11+M11+N11</f>
        <v>0</v>
      </c>
      <c r="Q11" s="54"/>
      <c r="R11" s="257"/>
      <c r="S11" s="76"/>
      <c r="T11" s="64" t="s">
        <v>33</v>
      </c>
      <c r="U11" s="48"/>
      <c r="V11" s="48"/>
      <c r="W11" s="48"/>
      <c r="X11" s="48"/>
      <c r="Y11" s="300">
        <f>W56*0.11</f>
        <v>1540</v>
      </c>
      <c r="Z11" s="301"/>
    </row>
    <row r="12" spans="1:34" ht="11.1" customHeight="1" x14ac:dyDescent="0.2">
      <c r="A12" s="291"/>
      <c r="B12" s="64" t="s">
        <v>35</v>
      </c>
      <c r="C12" s="12">
        <v>0</v>
      </c>
      <c r="D12" s="13">
        <v>0</v>
      </c>
      <c r="E12" s="13">
        <v>0</v>
      </c>
      <c r="F12" s="13">
        <v>0</v>
      </c>
      <c r="G12" s="64">
        <f t="shared" si="0"/>
        <v>0</v>
      </c>
      <c r="H12" s="66">
        <f t="shared" si="1"/>
        <v>0</v>
      </c>
      <c r="I12" s="9"/>
      <c r="J12" s="318"/>
      <c r="K12" s="318"/>
      <c r="L12" s="319"/>
      <c r="M12" s="262" t="s">
        <v>36</v>
      </c>
      <c r="N12" s="262"/>
      <c r="O12" s="73">
        <f>SUM(O6:O11)</f>
        <v>0</v>
      </c>
      <c r="P12" s="73">
        <f>SUM(P6:P11)</f>
        <v>0</v>
      </c>
      <c r="Q12" s="54"/>
      <c r="R12" s="257"/>
      <c r="S12" s="76"/>
      <c r="T12" s="64" t="s">
        <v>35</v>
      </c>
      <c r="U12" s="48"/>
      <c r="V12" s="48">
        <v>6411</v>
      </c>
      <c r="W12" s="48">
        <v>8333</v>
      </c>
      <c r="X12" s="48"/>
      <c r="Y12" s="300">
        <f>W56*0.13</f>
        <v>1820</v>
      </c>
      <c r="Z12" s="301"/>
    </row>
    <row r="13" spans="1:34" ht="11.1" customHeight="1" x14ac:dyDescent="0.2">
      <c r="A13" s="291"/>
      <c r="B13" s="64" t="s">
        <v>37</v>
      </c>
      <c r="C13" s="12">
        <v>0</v>
      </c>
      <c r="D13" s="13">
        <v>0</v>
      </c>
      <c r="E13" s="13">
        <v>0</v>
      </c>
      <c r="F13" s="13">
        <v>0</v>
      </c>
      <c r="G13" s="64">
        <f t="shared" si="0"/>
        <v>0</v>
      </c>
      <c r="H13" s="66">
        <f t="shared" si="1"/>
        <v>0</v>
      </c>
      <c r="I13" s="9"/>
      <c r="J13" s="258"/>
      <c r="K13" s="258"/>
      <c r="L13" s="258"/>
      <c r="M13" s="258"/>
      <c r="N13" s="258"/>
      <c r="O13" s="258"/>
      <c r="P13" s="258"/>
      <c r="Q13" s="54"/>
      <c r="R13" s="257"/>
      <c r="S13" s="76"/>
      <c r="T13" s="64" t="s">
        <v>37</v>
      </c>
      <c r="U13" s="48"/>
      <c r="V13" s="48">
        <v>7166</v>
      </c>
      <c r="W13" s="48">
        <v>9166</v>
      </c>
      <c r="X13" s="48">
        <v>12333</v>
      </c>
      <c r="Y13" s="300">
        <f>W56*0.15</f>
        <v>2100</v>
      </c>
      <c r="Z13" s="301"/>
    </row>
    <row r="14" spans="1:34" ht="11.1" customHeight="1" x14ac:dyDescent="0.2">
      <c r="A14" s="291"/>
      <c r="B14" s="64" t="s">
        <v>38</v>
      </c>
      <c r="C14" s="12">
        <v>0</v>
      </c>
      <c r="D14" s="13">
        <v>0</v>
      </c>
      <c r="E14" s="13">
        <v>0</v>
      </c>
      <c r="F14" s="13">
        <v>0</v>
      </c>
      <c r="G14" s="64">
        <f t="shared" si="0"/>
        <v>0</v>
      </c>
      <c r="H14" s="66">
        <f t="shared" si="1"/>
        <v>0</v>
      </c>
      <c r="I14" s="9"/>
      <c r="J14" s="259" t="s">
        <v>39</v>
      </c>
      <c r="K14" s="64" t="s">
        <v>14</v>
      </c>
      <c r="L14" s="64" t="s">
        <v>16</v>
      </c>
      <c r="M14" s="64" t="s">
        <v>20</v>
      </c>
      <c r="N14" s="64" t="s">
        <v>18</v>
      </c>
      <c r="O14" s="64" t="s">
        <v>19</v>
      </c>
      <c r="P14" s="65" t="s">
        <v>12</v>
      </c>
      <c r="Q14" s="11"/>
      <c r="R14" s="257"/>
      <c r="S14" s="76"/>
      <c r="T14" s="64" t="s">
        <v>38</v>
      </c>
      <c r="U14" s="48"/>
      <c r="V14" s="48">
        <v>9166</v>
      </c>
      <c r="W14" s="48">
        <v>11666</v>
      </c>
      <c r="X14" s="48">
        <v>15833</v>
      </c>
      <c r="Y14" s="300">
        <f>W56*0.2</f>
        <v>2800</v>
      </c>
      <c r="Z14" s="301"/>
      <c r="AB14" s="257" t="s">
        <v>39</v>
      </c>
      <c r="AC14" s="64" t="s">
        <v>14</v>
      </c>
      <c r="AD14" s="64" t="s">
        <v>16</v>
      </c>
      <c r="AE14" s="64" t="s">
        <v>20</v>
      </c>
      <c r="AF14" s="64" t="s">
        <v>18</v>
      </c>
      <c r="AG14" s="311" t="s">
        <v>19</v>
      </c>
      <c r="AH14" s="312"/>
    </row>
    <row r="15" spans="1:34" ht="11.1" customHeight="1" x14ac:dyDescent="0.2">
      <c r="A15" s="291"/>
      <c r="B15" s="64" t="s">
        <v>40</v>
      </c>
      <c r="C15" s="12">
        <v>0</v>
      </c>
      <c r="D15" s="13">
        <v>0</v>
      </c>
      <c r="E15" s="13">
        <v>0</v>
      </c>
      <c r="F15" s="13">
        <v>0</v>
      </c>
      <c r="G15" s="64">
        <f t="shared" si="0"/>
        <v>0</v>
      </c>
      <c r="H15" s="66">
        <f t="shared" si="1"/>
        <v>0</v>
      </c>
      <c r="I15" s="9"/>
      <c r="J15" s="260"/>
      <c r="K15" s="64" t="s">
        <v>41</v>
      </c>
      <c r="L15" s="13">
        <v>0</v>
      </c>
      <c r="M15" s="13">
        <v>0</v>
      </c>
      <c r="N15" s="13">
        <v>0</v>
      </c>
      <c r="O15" s="64">
        <f>AG15*(N15+M15+L15)</f>
        <v>0</v>
      </c>
      <c r="P15" s="64">
        <f>L15*AD15+M15*AE15+N15*AF15</f>
        <v>0</v>
      </c>
      <c r="Q15" s="54"/>
      <c r="R15" s="257"/>
      <c r="S15" s="76"/>
      <c r="T15" s="64" t="s">
        <v>40</v>
      </c>
      <c r="U15" s="48"/>
      <c r="V15" s="48"/>
      <c r="W15" s="48"/>
      <c r="X15" s="48"/>
      <c r="Y15" s="300">
        <f>W56*0.25</f>
        <v>3500</v>
      </c>
      <c r="Z15" s="301"/>
      <c r="AB15" s="257"/>
      <c r="AC15" s="64" t="s">
        <v>41</v>
      </c>
      <c r="AD15" s="13"/>
      <c r="AE15" s="13"/>
      <c r="AF15" s="13"/>
      <c r="AG15" s="298">
        <v>650</v>
      </c>
      <c r="AH15" s="299"/>
    </row>
    <row r="16" spans="1:34" ht="11.1" customHeight="1" x14ac:dyDescent="0.2">
      <c r="A16" s="291"/>
      <c r="B16" s="64" t="s">
        <v>42</v>
      </c>
      <c r="C16" s="12">
        <v>0</v>
      </c>
      <c r="D16" s="13">
        <v>0</v>
      </c>
      <c r="E16" s="13">
        <v>0</v>
      </c>
      <c r="F16" s="13">
        <v>0</v>
      </c>
      <c r="G16" s="64">
        <f t="shared" si="0"/>
        <v>0</v>
      </c>
      <c r="H16" s="66">
        <f t="shared" si="1"/>
        <v>0</v>
      </c>
      <c r="I16" s="9"/>
      <c r="J16" s="260"/>
      <c r="K16" s="64" t="s">
        <v>43</v>
      </c>
      <c r="L16" s="13">
        <v>0</v>
      </c>
      <c r="M16" s="13">
        <v>0</v>
      </c>
      <c r="N16" s="13">
        <v>0</v>
      </c>
      <c r="O16" s="64">
        <f>AG16*(N16+M16+L16)</f>
        <v>0</v>
      </c>
      <c r="P16" s="64">
        <f>L16*AD16+M16*AE16+N16*AF16</f>
        <v>0</v>
      </c>
      <c r="Q16" s="54"/>
      <c r="R16" s="257"/>
      <c r="S16" s="76"/>
      <c r="T16" s="64" t="s">
        <v>42</v>
      </c>
      <c r="U16" s="48"/>
      <c r="V16" s="48"/>
      <c r="W16" s="48"/>
      <c r="X16" s="48"/>
      <c r="Y16" s="300">
        <f>W56*0.3</f>
        <v>4200</v>
      </c>
      <c r="Z16" s="301"/>
      <c r="AB16" s="257"/>
      <c r="AC16" s="64" t="s">
        <v>43</v>
      </c>
      <c r="AD16" s="13"/>
      <c r="AE16" s="13"/>
      <c r="AF16" s="13"/>
      <c r="AG16" s="298">
        <v>1300</v>
      </c>
      <c r="AH16" s="299"/>
    </row>
    <row r="17" spans="1:34" ht="11.1" customHeight="1" x14ac:dyDescent="0.2">
      <c r="A17" s="291"/>
      <c r="B17" s="64" t="s">
        <v>34</v>
      </c>
      <c r="C17" s="12">
        <v>0</v>
      </c>
      <c r="D17" s="13">
        <v>0</v>
      </c>
      <c r="E17" s="13">
        <v>0</v>
      </c>
      <c r="F17" s="13">
        <v>0</v>
      </c>
      <c r="G17" s="64">
        <f t="shared" si="0"/>
        <v>0</v>
      </c>
      <c r="H17" s="66">
        <f t="shared" si="1"/>
        <v>0</v>
      </c>
      <c r="I17" s="9"/>
      <c r="J17" s="261"/>
      <c r="K17" s="64" t="s">
        <v>44</v>
      </c>
      <c r="L17" s="13">
        <v>0</v>
      </c>
      <c r="M17" s="13">
        <v>0</v>
      </c>
      <c r="N17" s="13">
        <v>0</v>
      </c>
      <c r="O17" s="64">
        <f>AG17*(N17+M17+L17)</f>
        <v>0</v>
      </c>
      <c r="P17" s="64">
        <f>L17*AD17+M17*AE17+N17*AF17</f>
        <v>0</v>
      </c>
      <c r="Q17" s="54"/>
      <c r="R17" s="9"/>
      <c r="S17" s="16"/>
      <c r="AB17" s="257"/>
      <c r="AC17" s="64" t="s">
        <v>44</v>
      </c>
      <c r="AD17" s="13"/>
      <c r="AE17" s="13"/>
      <c r="AF17" s="13"/>
      <c r="AG17" s="298">
        <v>1820</v>
      </c>
      <c r="AH17" s="299"/>
    </row>
    <row r="18" spans="1:34" ht="11.1" customHeight="1" x14ac:dyDescent="0.2">
      <c r="A18" s="291"/>
      <c r="B18" s="64" t="s">
        <v>34</v>
      </c>
      <c r="C18" s="12">
        <v>0</v>
      </c>
      <c r="D18" s="13">
        <v>0</v>
      </c>
      <c r="E18" s="13">
        <v>0</v>
      </c>
      <c r="F18" s="13">
        <v>0</v>
      </c>
      <c r="G18" s="64">
        <f t="shared" si="0"/>
        <v>0</v>
      </c>
      <c r="H18" s="66">
        <f t="shared" si="1"/>
        <v>0</v>
      </c>
      <c r="I18" s="9"/>
      <c r="J18" s="286"/>
      <c r="K18" s="286"/>
      <c r="L18" s="304"/>
      <c r="M18" s="262" t="s">
        <v>36</v>
      </c>
      <c r="N18" s="262"/>
      <c r="O18" s="73">
        <f>SUM(O15:O17)</f>
        <v>0</v>
      </c>
      <c r="P18" s="73">
        <f>SUM(P15:P17)</f>
        <v>0</v>
      </c>
      <c r="Q18" s="54"/>
      <c r="R18" s="9"/>
      <c r="S18" s="8"/>
    </row>
    <row r="19" spans="1:34" ht="11.1" customHeight="1" x14ac:dyDescent="0.2">
      <c r="A19" s="287"/>
      <c r="B19" s="287"/>
      <c r="C19" s="287"/>
      <c r="D19" s="288"/>
      <c r="E19" s="289" t="s">
        <v>36</v>
      </c>
      <c r="F19" s="290"/>
      <c r="G19" s="73">
        <f>SUM(G6:G18)</f>
        <v>0</v>
      </c>
      <c r="H19" s="73">
        <f>SUM(H6:H18)</f>
        <v>0</v>
      </c>
      <c r="I19" s="9"/>
      <c r="J19" s="258"/>
      <c r="K19" s="258"/>
      <c r="L19" s="258"/>
      <c r="M19" s="258"/>
      <c r="N19" s="258"/>
      <c r="O19" s="258"/>
      <c r="P19" s="258"/>
      <c r="Q19" s="54"/>
      <c r="R19" s="9"/>
    </row>
    <row r="20" spans="1:34" ht="11.1" customHeight="1" x14ac:dyDescent="0.2">
      <c r="A20" s="292"/>
      <c r="B20" s="292"/>
      <c r="C20" s="292"/>
      <c r="D20" s="292"/>
      <c r="E20" s="292"/>
      <c r="F20" s="292"/>
      <c r="G20" s="292"/>
      <c r="H20" s="292"/>
      <c r="I20" s="9"/>
      <c r="J20" s="75"/>
      <c r="K20" s="64" t="s">
        <v>14</v>
      </c>
      <c r="L20" s="94" t="s">
        <v>45</v>
      </c>
      <c r="M20" s="94" t="s">
        <v>46</v>
      </c>
      <c r="N20" s="94" t="s">
        <v>47</v>
      </c>
      <c r="O20" s="64" t="s">
        <v>19</v>
      </c>
      <c r="P20" s="65" t="s">
        <v>12</v>
      </c>
      <c r="Q20" s="11"/>
      <c r="R20" s="83"/>
      <c r="T20" s="54"/>
      <c r="U20" s="54"/>
      <c r="V20" s="54"/>
      <c r="W20" s="54"/>
      <c r="X20" s="54"/>
      <c r="Y20" s="272"/>
      <c r="Z20" s="272"/>
      <c r="AB20" s="257" t="s">
        <v>48</v>
      </c>
      <c r="AC20" s="64" t="s">
        <v>14</v>
      </c>
      <c r="AD20" s="94" t="s">
        <v>45</v>
      </c>
      <c r="AE20" s="94" t="s">
        <v>46</v>
      </c>
      <c r="AF20" s="94" t="s">
        <v>47</v>
      </c>
      <c r="AG20" s="315" t="s">
        <v>19</v>
      </c>
      <c r="AH20" s="316"/>
    </row>
    <row r="21" spans="1:34" ht="11.1" customHeight="1" x14ac:dyDescent="0.2">
      <c r="A21" s="67"/>
      <c r="B21" s="64" t="s">
        <v>14</v>
      </c>
      <c r="C21" s="64" t="s">
        <v>15</v>
      </c>
      <c r="D21" s="64" t="s">
        <v>16</v>
      </c>
      <c r="E21" s="64" t="s">
        <v>17</v>
      </c>
      <c r="F21" s="64" t="s">
        <v>18</v>
      </c>
      <c r="G21" s="64" t="s">
        <v>19</v>
      </c>
      <c r="H21" s="65" t="s">
        <v>12</v>
      </c>
      <c r="I21" s="11"/>
      <c r="J21" s="257" t="s">
        <v>48</v>
      </c>
      <c r="K21" s="64" t="s">
        <v>23</v>
      </c>
      <c r="L21" s="13">
        <v>0</v>
      </c>
      <c r="M21" s="13">
        <v>0</v>
      </c>
      <c r="N21" s="13">
        <v>0</v>
      </c>
      <c r="O21" s="64">
        <f t="shared" ref="O21:O26" si="2">AG21*(N21+M21+L21)</f>
        <v>0</v>
      </c>
      <c r="P21" s="64">
        <f t="shared" ref="P21:P26" si="3">L21*AD21+M21*AE21+N21*AF21</f>
        <v>0</v>
      </c>
      <c r="Q21" s="54"/>
      <c r="R21" s="257" t="s">
        <v>49</v>
      </c>
      <c r="S21" s="76"/>
      <c r="T21" s="64" t="s">
        <v>14</v>
      </c>
      <c r="U21" s="64" t="s">
        <v>15</v>
      </c>
      <c r="V21" s="64" t="s">
        <v>16</v>
      </c>
      <c r="W21" s="64" t="s">
        <v>17</v>
      </c>
      <c r="X21" s="64" t="s">
        <v>18</v>
      </c>
      <c r="Y21" s="307" t="s">
        <v>19</v>
      </c>
      <c r="Z21" s="307"/>
      <c r="AB21" s="257"/>
      <c r="AC21" s="64" t="s">
        <v>23</v>
      </c>
      <c r="AD21" s="13">
        <v>1916</v>
      </c>
      <c r="AE21" s="13"/>
      <c r="AF21" s="13"/>
      <c r="AG21" s="322">
        <v>500</v>
      </c>
      <c r="AH21" s="323"/>
    </row>
    <row r="22" spans="1:34" ht="11.1" customHeight="1" x14ac:dyDescent="0.2">
      <c r="A22" s="346" t="s">
        <v>49</v>
      </c>
      <c r="B22" s="64" t="s">
        <v>67</v>
      </c>
      <c r="C22" s="12">
        <v>0</v>
      </c>
      <c r="D22" s="13">
        <v>0</v>
      </c>
      <c r="E22" s="13">
        <v>0</v>
      </c>
      <c r="F22" s="13">
        <v>0</v>
      </c>
      <c r="G22" s="64">
        <f>(F22+E22+D22+C22)*Y22</f>
        <v>0</v>
      </c>
      <c r="H22" s="64">
        <f>(C22*U22+D22*V22+E22*W22+F22*X22)</f>
        <v>0</v>
      </c>
      <c r="I22" s="11"/>
      <c r="J22" s="257"/>
      <c r="K22" s="64" t="s">
        <v>27</v>
      </c>
      <c r="L22" s="13">
        <v>0</v>
      </c>
      <c r="M22" s="13">
        <v>0</v>
      </c>
      <c r="N22" s="13">
        <v>0</v>
      </c>
      <c r="O22" s="64">
        <f t="shared" si="2"/>
        <v>0</v>
      </c>
      <c r="P22" s="64">
        <f t="shared" si="3"/>
        <v>0</v>
      </c>
      <c r="Q22" s="54"/>
      <c r="R22" s="257"/>
      <c r="S22" s="76"/>
      <c r="T22" s="64" t="s">
        <v>67</v>
      </c>
      <c r="U22" s="13"/>
      <c r="V22" s="13">
        <v>3500</v>
      </c>
      <c r="W22" s="13">
        <v>4400</v>
      </c>
      <c r="X22" s="13"/>
      <c r="Y22" s="303">
        <v>800</v>
      </c>
      <c r="Z22" s="303"/>
      <c r="AB22" s="257"/>
      <c r="AC22" s="64" t="s">
        <v>27</v>
      </c>
      <c r="AD22" s="13">
        <v>2941</v>
      </c>
      <c r="AE22" s="13"/>
      <c r="AF22" s="13"/>
      <c r="AG22" s="322">
        <v>500</v>
      </c>
      <c r="AH22" s="323"/>
    </row>
    <row r="23" spans="1:34" ht="11.1" customHeight="1" x14ac:dyDescent="0.2">
      <c r="A23" s="347"/>
      <c r="B23" s="68" t="s">
        <v>23</v>
      </c>
      <c r="C23" s="12">
        <v>0</v>
      </c>
      <c r="D23" s="13">
        <v>0</v>
      </c>
      <c r="E23" s="13">
        <v>0</v>
      </c>
      <c r="F23" s="13">
        <v>0</v>
      </c>
      <c r="G23" s="64">
        <f>(F23+E23+D23+C23)*Y23</f>
        <v>0</v>
      </c>
      <c r="H23" s="64">
        <f>(C23*U23+D23*V23+E23*W23+F23*X23)</f>
        <v>0</v>
      </c>
      <c r="I23" s="9"/>
      <c r="J23" s="257"/>
      <c r="K23" s="64" t="s">
        <v>31</v>
      </c>
      <c r="L23" s="13">
        <v>0</v>
      </c>
      <c r="M23" s="13">
        <v>0</v>
      </c>
      <c r="N23" s="13">
        <v>0</v>
      </c>
      <c r="O23" s="64">
        <f t="shared" si="2"/>
        <v>0</v>
      </c>
      <c r="P23" s="64">
        <f t="shared" si="3"/>
        <v>0</v>
      </c>
      <c r="Q23" s="54"/>
      <c r="R23" s="257"/>
      <c r="S23" s="76"/>
      <c r="T23" s="68" t="s">
        <v>23</v>
      </c>
      <c r="U23" s="13"/>
      <c r="V23" s="13">
        <v>2333</v>
      </c>
      <c r="W23" s="13">
        <v>2833</v>
      </c>
      <c r="X23" s="13">
        <v>3500</v>
      </c>
      <c r="Y23" s="303">
        <v>800</v>
      </c>
      <c r="Z23" s="303"/>
      <c r="AB23" s="257"/>
      <c r="AC23" s="64" t="s">
        <v>31</v>
      </c>
      <c r="AD23" s="13">
        <v>4333</v>
      </c>
      <c r="AE23" s="13"/>
      <c r="AF23" s="13"/>
      <c r="AG23" s="322">
        <f>W56*0.05</f>
        <v>700</v>
      </c>
      <c r="AH23" s="323"/>
    </row>
    <row r="24" spans="1:34" ht="11.1" customHeight="1" x14ac:dyDescent="0.2">
      <c r="A24" s="347"/>
      <c r="B24" s="69" t="s">
        <v>25</v>
      </c>
      <c r="C24" s="12">
        <v>0</v>
      </c>
      <c r="D24" s="13">
        <v>0</v>
      </c>
      <c r="E24" s="13">
        <v>0</v>
      </c>
      <c r="F24" s="13">
        <v>0</v>
      </c>
      <c r="G24" s="64">
        <f t="shared" ref="G24:G35" si="4">(F24+E24+D24+C24)*Y24</f>
        <v>0</v>
      </c>
      <c r="H24" s="64">
        <f t="shared" ref="H24:H35" si="5">(C24*U24+D24*V24+E24*W24+F24*X24)</f>
        <v>0</v>
      </c>
      <c r="I24" s="9"/>
      <c r="J24" s="257"/>
      <c r="K24" s="64" t="s">
        <v>37</v>
      </c>
      <c r="L24" s="13">
        <v>0</v>
      </c>
      <c r="M24" s="13">
        <v>0</v>
      </c>
      <c r="N24" s="13">
        <v>0</v>
      </c>
      <c r="O24" s="64">
        <f t="shared" si="2"/>
        <v>0</v>
      </c>
      <c r="P24" s="64">
        <f t="shared" si="3"/>
        <v>0</v>
      </c>
      <c r="Q24" s="54"/>
      <c r="R24" s="257"/>
      <c r="S24" s="76"/>
      <c r="T24" s="69" t="s">
        <v>25</v>
      </c>
      <c r="U24" s="13"/>
      <c r="V24" s="13">
        <v>2666</v>
      </c>
      <c r="W24" s="13">
        <v>3500</v>
      </c>
      <c r="X24" s="13">
        <v>4416</v>
      </c>
      <c r="Y24" s="303">
        <v>800</v>
      </c>
      <c r="Z24" s="303"/>
      <c r="AB24" s="257"/>
      <c r="AC24" s="64" t="s">
        <v>37</v>
      </c>
      <c r="AD24" s="13">
        <v>6666</v>
      </c>
      <c r="AE24" s="13"/>
      <c r="AF24" s="13"/>
      <c r="AG24" s="322">
        <v>600</v>
      </c>
      <c r="AH24" s="323"/>
    </row>
    <row r="25" spans="1:34" ht="11.1" customHeight="1" x14ac:dyDescent="0.2">
      <c r="A25" s="347"/>
      <c r="B25" s="70" t="s">
        <v>27</v>
      </c>
      <c r="C25" s="12">
        <v>0</v>
      </c>
      <c r="D25" s="13">
        <v>0</v>
      </c>
      <c r="E25" s="13">
        <v>0</v>
      </c>
      <c r="F25" s="13">
        <v>0</v>
      </c>
      <c r="G25" s="64">
        <f t="shared" si="4"/>
        <v>0</v>
      </c>
      <c r="H25" s="64">
        <f t="shared" si="5"/>
        <v>0</v>
      </c>
      <c r="I25" s="9"/>
      <c r="J25" s="257"/>
      <c r="K25" s="64" t="s">
        <v>38</v>
      </c>
      <c r="L25" s="13">
        <v>0</v>
      </c>
      <c r="M25" s="13">
        <v>0</v>
      </c>
      <c r="N25" s="13">
        <v>0</v>
      </c>
      <c r="O25" s="64">
        <f t="shared" si="2"/>
        <v>0</v>
      </c>
      <c r="P25" s="64">
        <f t="shared" si="3"/>
        <v>0</v>
      </c>
      <c r="Q25" s="54"/>
      <c r="R25" s="257"/>
      <c r="S25" s="76"/>
      <c r="T25" s="70" t="s">
        <v>27</v>
      </c>
      <c r="U25" s="13"/>
      <c r="V25" s="13">
        <v>3083</v>
      </c>
      <c r="W25" s="13">
        <v>4083</v>
      </c>
      <c r="X25" s="13">
        <v>5250</v>
      </c>
      <c r="Y25" s="303">
        <v>800</v>
      </c>
      <c r="Z25" s="303"/>
      <c r="AB25" s="257"/>
      <c r="AC25" s="64" t="s">
        <v>38</v>
      </c>
      <c r="AD25" s="13">
        <v>8666</v>
      </c>
      <c r="AE25" s="13"/>
      <c r="AF25" s="13"/>
      <c r="AG25" s="279">
        <f>W56*0.1</f>
        <v>1400</v>
      </c>
      <c r="AH25" s="280"/>
    </row>
    <row r="26" spans="1:34" ht="11.1" customHeight="1" x14ac:dyDescent="0.2">
      <c r="A26" s="347"/>
      <c r="B26" s="69" t="s">
        <v>29</v>
      </c>
      <c r="C26" s="12">
        <v>0</v>
      </c>
      <c r="D26" s="13">
        <v>0</v>
      </c>
      <c r="E26" s="13">
        <v>0</v>
      </c>
      <c r="F26" s="13">
        <v>0</v>
      </c>
      <c r="G26" s="64">
        <f t="shared" si="4"/>
        <v>0</v>
      </c>
      <c r="H26" s="64">
        <f t="shared" si="5"/>
        <v>0</v>
      </c>
      <c r="I26" s="9"/>
      <c r="J26" s="257"/>
      <c r="K26" s="64" t="s">
        <v>113</v>
      </c>
      <c r="L26" s="13">
        <v>0</v>
      </c>
      <c r="M26" s="13">
        <v>0</v>
      </c>
      <c r="N26" s="13">
        <v>0</v>
      </c>
      <c r="O26" s="64">
        <f t="shared" si="2"/>
        <v>0</v>
      </c>
      <c r="P26" s="64">
        <f t="shared" si="3"/>
        <v>0</v>
      </c>
      <c r="Q26" s="54"/>
      <c r="R26" s="257"/>
      <c r="S26" s="76"/>
      <c r="T26" s="69" t="s">
        <v>29</v>
      </c>
      <c r="U26" s="13"/>
      <c r="V26" s="13">
        <v>3750</v>
      </c>
      <c r="W26" s="13">
        <v>4916</v>
      </c>
      <c r="X26" s="13">
        <v>7000</v>
      </c>
      <c r="Y26" s="303">
        <v>800</v>
      </c>
      <c r="Z26" s="303"/>
      <c r="AB26" s="257"/>
      <c r="AC26" s="64" t="s">
        <v>113</v>
      </c>
      <c r="AD26" s="13"/>
      <c r="AE26" s="13"/>
      <c r="AF26" s="13"/>
      <c r="AG26" s="279">
        <f>W56*0.125</f>
        <v>1750</v>
      </c>
      <c r="AH26" s="280"/>
    </row>
    <row r="27" spans="1:34" ht="11.1" customHeight="1" x14ac:dyDescent="0.2">
      <c r="A27" s="347"/>
      <c r="B27" s="64" t="s">
        <v>31</v>
      </c>
      <c r="C27" s="12">
        <v>0</v>
      </c>
      <c r="D27" s="13">
        <v>0</v>
      </c>
      <c r="E27" s="13">
        <v>0</v>
      </c>
      <c r="F27" s="13">
        <v>0</v>
      </c>
      <c r="G27" s="64">
        <f t="shared" si="4"/>
        <v>0</v>
      </c>
      <c r="H27" s="64">
        <f t="shared" si="5"/>
        <v>0</v>
      </c>
      <c r="I27" s="9"/>
      <c r="J27" s="333"/>
      <c r="K27" s="333"/>
      <c r="L27" s="334"/>
      <c r="M27" s="262" t="s">
        <v>36</v>
      </c>
      <c r="N27" s="262"/>
      <c r="O27" s="84">
        <f>SUM(O21:O26)</f>
        <v>0</v>
      </c>
      <c r="P27" s="73">
        <f>SUM(P21:P26)</f>
        <v>0</v>
      </c>
      <c r="Q27" s="54"/>
      <c r="R27" s="257"/>
      <c r="S27" s="76"/>
      <c r="T27" s="64" t="s">
        <v>31</v>
      </c>
      <c r="U27" s="13"/>
      <c r="V27" s="13">
        <v>4166</v>
      </c>
      <c r="W27" s="13">
        <v>5833</v>
      </c>
      <c r="X27" s="13">
        <v>7166</v>
      </c>
      <c r="Y27" s="305">
        <f>W56*0.08</f>
        <v>1120</v>
      </c>
      <c r="Z27" s="305"/>
    </row>
    <row r="28" spans="1:34" ht="11.1" customHeight="1" x14ac:dyDescent="0.2">
      <c r="A28" s="347"/>
      <c r="B28" s="64" t="s">
        <v>33</v>
      </c>
      <c r="C28" s="12">
        <v>0</v>
      </c>
      <c r="D28" s="13">
        <v>0</v>
      </c>
      <c r="E28" s="13">
        <v>0</v>
      </c>
      <c r="F28" s="13">
        <v>0</v>
      </c>
      <c r="G28" s="64">
        <f t="shared" si="4"/>
        <v>0</v>
      </c>
      <c r="H28" s="64">
        <f t="shared" si="5"/>
        <v>0</v>
      </c>
      <c r="I28" s="9"/>
      <c r="J28" s="349"/>
      <c r="K28" s="349"/>
      <c r="L28" s="349"/>
      <c r="M28" s="349"/>
      <c r="N28" s="349"/>
      <c r="O28" s="349"/>
      <c r="P28" s="349"/>
      <c r="Q28" s="54"/>
      <c r="R28" s="257"/>
      <c r="S28" s="76"/>
      <c r="T28" s="64" t="s">
        <v>33</v>
      </c>
      <c r="U28" s="13"/>
      <c r="V28" s="13">
        <v>4765</v>
      </c>
      <c r="W28" s="13">
        <v>6166</v>
      </c>
      <c r="X28" s="13">
        <v>7282</v>
      </c>
      <c r="Y28" s="305">
        <f>W56*0.09</f>
        <v>1260</v>
      </c>
      <c r="Z28" s="305"/>
    </row>
    <row r="29" spans="1:34" ht="11.1" customHeight="1" x14ac:dyDescent="0.2">
      <c r="A29" s="347"/>
      <c r="B29" s="64" t="s">
        <v>35</v>
      </c>
      <c r="C29" s="12">
        <v>0</v>
      </c>
      <c r="D29" s="13">
        <v>0</v>
      </c>
      <c r="E29" s="13">
        <v>0</v>
      </c>
      <c r="F29" s="13">
        <v>0</v>
      </c>
      <c r="G29" s="64">
        <f t="shared" si="4"/>
        <v>0</v>
      </c>
      <c r="H29" s="64">
        <f t="shared" si="5"/>
        <v>0</v>
      </c>
      <c r="I29" s="9"/>
      <c r="J29" s="67"/>
      <c r="K29" s="64" t="s">
        <v>14</v>
      </c>
      <c r="L29" s="94" t="s">
        <v>45</v>
      </c>
      <c r="M29" s="94" t="s">
        <v>46</v>
      </c>
      <c r="N29" s="94" t="s">
        <v>47</v>
      </c>
      <c r="O29" s="64" t="s">
        <v>19</v>
      </c>
      <c r="P29" s="65" t="s">
        <v>12</v>
      </c>
      <c r="Q29" s="11"/>
      <c r="R29" s="257"/>
      <c r="S29" s="76"/>
      <c r="T29" s="64" t="s">
        <v>35</v>
      </c>
      <c r="U29" s="13"/>
      <c r="V29" s="13">
        <v>5083</v>
      </c>
      <c r="W29" s="86">
        <v>7000</v>
      </c>
      <c r="X29" s="13">
        <v>9500</v>
      </c>
      <c r="Y29" s="305">
        <f>W56*0.1</f>
        <v>1400</v>
      </c>
      <c r="Z29" s="305"/>
      <c r="AB29" s="295" t="s">
        <v>50</v>
      </c>
      <c r="AC29" s="64" t="s">
        <v>14</v>
      </c>
      <c r="AD29" s="64" t="s">
        <v>45</v>
      </c>
      <c r="AE29" s="64" t="s">
        <v>46</v>
      </c>
      <c r="AF29" s="64" t="s">
        <v>47</v>
      </c>
      <c r="AG29" s="315" t="s">
        <v>19</v>
      </c>
      <c r="AH29" s="316"/>
    </row>
    <row r="30" spans="1:34" ht="11.1" customHeight="1" x14ac:dyDescent="0.2">
      <c r="A30" s="347"/>
      <c r="B30" s="64" t="s">
        <v>37</v>
      </c>
      <c r="C30" s="12">
        <v>0</v>
      </c>
      <c r="D30" s="13">
        <v>0</v>
      </c>
      <c r="E30" s="13">
        <v>0</v>
      </c>
      <c r="F30" s="13">
        <v>0</v>
      </c>
      <c r="G30" s="64">
        <f t="shared" si="4"/>
        <v>0</v>
      </c>
      <c r="H30" s="64">
        <f t="shared" si="5"/>
        <v>0</v>
      </c>
      <c r="I30" s="9"/>
      <c r="J30" s="306" t="s">
        <v>50</v>
      </c>
      <c r="K30" s="64" t="s">
        <v>23</v>
      </c>
      <c r="L30" s="13">
        <v>0</v>
      </c>
      <c r="M30" s="13">
        <v>0</v>
      </c>
      <c r="N30" s="13">
        <v>0</v>
      </c>
      <c r="O30" s="64">
        <f>AG30*(N30+M30+L30)</f>
        <v>0</v>
      </c>
      <c r="P30" s="64">
        <f>L30*AD30+M30*AE30+N30*AF30</f>
        <v>0</v>
      </c>
      <c r="Q30" s="54"/>
      <c r="R30" s="257"/>
      <c r="S30" s="76"/>
      <c r="T30" s="64" t="s">
        <v>37</v>
      </c>
      <c r="U30" s="13"/>
      <c r="V30" s="13">
        <v>6000</v>
      </c>
      <c r="W30" s="86">
        <v>8333</v>
      </c>
      <c r="X30" s="13">
        <v>10750</v>
      </c>
      <c r="Y30" s="305">
        <f>W56*0.12</f>
        <v>1680</v>
      </c>
      <c r="Z30" s="305"/>
      <c r="AB30" s="296"/>
      <c r="AC30" s="64" t="s">
        <v>23</v>
      </c>
      <c r="AD30" s="13"/>
      <c r="AE30" s="13"/>
      <c r="AF30" s="13"/>
      <c r="AG30" s="279"/>
      <c r="AH30" s="280"/>
    </row>
    <row r="31" spans="1:34" ht="11.1" customHeight="1" x14ac:dyDescent="0.2">
      <c r="A31" s="347"/>
      <c r="B31" s="64" t="s">
        <v>38</v>
      </c>
      <c r="C31" s="12">
        <v>0</v>
      </c>
      <c r="D31" s="13">
        <v>0</v>
      </c>
      <c r="E31" s="13">
        <v>0</v>
      </c>
      <c r="F31" s="13">
        <v>0</v>
      </c>
      <c r="G31" s="64">
        <f t="shared" si="4"/>
        <v>0</v>
      </c>
      <c r="H31" s="64">
        <f t="shared" si="5"/>
        <v>0</v>
      </c>
      <c r="I31" s="9"/>
      <c r="J31" s="306"/>
      <c r="K31" s="64" t="s">
        <v>27</v>
      </c>
      <c r="L31" s="13">
        <v>0</v>
      </c>
      <c r="M31" s="13">
        <v>0</v>
      </c>
      <c r="N31" s="13">
        <v>0</v>
      </c>
      <c r="O31" s="64">
        <f>AG31*(N31+M31+L31)</f>
        <v>0</v>
      </c>
      <c r="P31" s="64">
        <f>L31*AD31+M31*AE31+N31*AF31</f>
        <v>0</v>
      </c>
      <c r="Q31" s="54"/>
      <c r="R31" s="257"/>
      <c r="S31" s="76"/>
      <c r="T31" s="64" t="s">
        <v>38</v>
      </c>
      <c r="U31" s="13"/>
      <c r="V31" s="13"/>
      <c r="W31" s="13"/>
      <c r="X31" s="13"/>
      <c r="Y31" s="305">
        <f>W56*0.16</f>
        <v>2240</v>
      </c>
      <c r="Z31" s="305"/>
      <c r="AB31" s="296"/>
      <c r="AC31" s="64" t="s">
        <v>27</v>
      </c>
      <c r="AD31" s="13">
        <v>4583</v>
      </c>
      <c r="AE31" s="13"/>
      <c r="AF31" s="13"/>
      <c r="AG31" s="279">
        <f>W56*0.06</f>
        <v>840</v>
      </c>
      <c r="AH31" s="280"/>
    </row>
    <row r="32" spans="1:34" ht="11.1" customHeight="1" x14ac:dyDescent="0.2">
      <c r="A32" s="347"/>
      <c r="B32" s="64" t="s">
        <v>40</v>
      </c>
      <c r="C32" s="12">
        <v>0</v>
      </c>
      <c r="D32" s="13">
        <v>0</v>
      </c>
      <c r="E32" s="13">
        <v>0</v>
      </c>
      <c r="F32" s="13">
        <v>0</v>
      </c>
      <c r="G32" s="64">
        <f t="shared" si="4"/>
        <v>0</v>
      </c>
      <c r="H32" s="64">
        <f t="shared" si="5"/>
        <v>0</v>
      </c>
      <c r="I32" s="9"/>
      <c r="J32" s="306"/>
      <c r="K32" s="64" t="s">
        <v>31</v>
      </c>
      <c r="L32" s="13">
        <v>0</v>
      </c>
      <c r="M32" s="13">
        <v>0</v>
      </c>
      <c r="N32" s="13">
        <v>0</v>
      </c>
      <c r="O32" s="64">
        <f>AG32*(N32+M32+L32)</f>
        <v>0</v>
      </c>
      <c r="P32" s="64">
        <f>L32*AD32+M32*AE32+N32*AF32</f>
        <v>0</v>
      </c>
      <c r="Q32" s="54"/>
      <c r="R32" s="257"/>
      <c r="S32" s="76"/>
      <c r="T32" s="64" t="s">
        <v>113</v>
      </c>
      <c r="U32" s="13"/>
      <c r="V32" s="13"/>
      <c r="W32" s="13"/>
      <c r="X32" s="13"/>
      <c r="Y32" s="305">
        <f>W56*0.2</f>
        <v>2800</v>
      </c>
      <c r="Z32" s="305"/>
      <c r="AB32" s="296"/>
      <c r="AC32" s="64" t="s">
        <v>31</v>
      </c>
      <c r="AD32" s="13">
        <v>7750</v>
      </c>
      <c r="AE32" s="13"/>
      <c r="AF32" s="13"/>
      <c r="AG32" s="279">
        <f>W56*0.075</f>
        <v>1050</v>
      </c>
      <c r="AH32" s="280"/>
    </row>
    <row r="33" spans="1:34" ht="11.1" customHeight="1" x14ac:dyDescent="0.2">
      <c r="A33" s="347"/>
      <c r="B33" s="64" t="s">
        <v>42</v>
      </c>
      <c r="C33" s="12">
        <v>0</v>
      </c>
      <c r="D33" s="13">
        <v>0</v>
      </c>
      <c r="E33" s="13">
        <v>0</v>
      </c>
      <c r="F33" s="13">
        <v>0</v>
      </c>
      <c r="G33" s="64">
        <f t="shared" si="4"/>
        <v>0</v>
      </c>
      <c r="H33" s="64">
        <f t="shared" si="5"/>
        <v>0</v>
      </c>
      <c r="I33" s="9"/>
      <c r="J33" s="306"/>
      <c r="K33" s="64" t="s">
        <v>37</v>
      </c>
      <c r="L33" s="13">
        <v>0</v>
      </c>
      <c r="M33" s="13">
        <v>0</v>
      </c>
      <c r="N33" s="13">
        <v>0</v>
      </c>
      <c r="O33" s="64">
        <f>AG33*(N33+M33+L33)</f>
        <v>0</v>
      </c>
      <c r="P33" s="64">
        <f>L33*AD33+M33*AE33+N33*AF33</f>
        <v>0</v>
      </c>
      <c r="Q33" s="54"/>
      <c r="R33" s="257"/>
      <c r="S33" s="76"/>
      <c r="T33" s="64" t="s">
        <v>42</v>
      </c>
      <c r="U33" s="13"/>
      <c r="V33" s="13"/>
      <c r="W33" s="13"/>
      <c r="X33" s="13"/>
      <c r="Y33" s="305">
        <f>W56*0.23</f>
        <v>3220</v>
      </c>
      <c r="Z33" s="305"/>
      <c r="AB33" s="296"/>
      <c r="AC33" s="64" t="s">
        <v>37</v>
      </c>
      <c r="AD33" s="13">
        <v>12500</v>
      </c>
      <c r="AE33" s="13"/>
      <c r="AF33" s="13"/>
      <c r="AG33" s="279">
        <f>W56*0.114</f>
        <v>1596</v>
      </c>
      <c r="AH33" s="280"/>
    </row>
    <row r="34" spans="1:34" ht="11.1" customHeight="1" x14ac:dyDescent="0.2">
      <c r="A34" s="347"/>
      <c r="B34" s="64" t="s">
        <v>34</v>
      </c>
      <c r="C34" s="12">
        <v>0</v>
      </c>
      <c r="D34" s="13">
        <v>0</v>
      </c>
      <c r="E34" s="13">
        <v>0</v>
      </c>
      <c r="F34" s="13">
        <v>0</v>
      </c>
      <c r="G34" s="64">
        <f t="shared" si="4"/>
        <v>0</v>
      </c>
      <c r="H34" s="64">
        <f t="shared" si="5"/>
        <v>0</v>
      </c>
      <c r="I34" s="9"/>
      <c r="J34" s="306"/>
      <c r="K34" s="64" t="s">
        <v>38</v>
      </c>
      <c r="L34" s="13">
        <v>0</v>
      </c>
      <c r="M34" s="13">
        <v>0</v>
      </c>
      <c r="N34" s="13">
        <v>0</v>
      </c>
      <c r="O34" s="64">
        <f>AG34*(N34+M34+L34)</f>
        <v>0</v>
      </c>
      <c r="P34" s="64">
        <f>L34*AD34+M34*AE34+N34*AF34</f>
        <v>0</v>
      </c>
      <c r="Q34" s="54"/>
      <c r="R34" s="9"/>
      <c r="AB34" s="297"/>
      <c r="AC34" s="64" t="s">
        <v>38</v>
      </c>
      <c r="AD34" s="13">
        <v>16500</v>
      </c>
      <c r="AE34" s="13"/>
      <c r="AF34" s="13"/>
      <c r="AG34" s="279">
        <f>W56*0.15</f>
        <v>2100</v>
      </c>
      <c r="AH34" s="280"/>
    </row>
    <row r="35" spans="1:34" ht="11.1" customHeight="1" x14ac:dyDescent="0.2">
      <c r="A35" s="348"/>
      <c r="B35" s="64" t="s">
        <v>34</v>
      </c>
      <c r="C35" s="18">
        <v>0</v>
      </c>
      <c r="D35" s="13">
        <v>0</v>
      </c>
      <c r="E35" s="13">
        <v>0</v>
      </c>
      <c r="F35" s="13">
        <v>0</v>
      </c>
      <c r="G35" s="64">
        <f t="shared" si="4"/>
        <v>0</v>
      </c>
      <c r="H35" s="64">
        <f t="shared" si="5"/>
        <v>0</v>
      </c>
      <c r="I35" s="9"/>
      <c r="J35" s="286"/>
      <c r="K35" s="286"/>
      <c r="L35" s="304"/>
      <c r="M35" s="262" t="s">
        <v>36</v>
      </c>
      <c r="N35" s="262"/>
      <c r="O35" s="84">
        <f>SUM(O30:O34)</f>
        <v>0</v>
      </c>
      <c r="P35" s="73">
        <f>SUM(P30:P34)</f>
        <v>0</v>
      </c>
      <c r="Q35" s="54"/>
      <c r="R35" s="9"/>
    </row>
    <row r="36" spans="1:34" ht="11.1" customHeight="1" x14ac:dyDescent="0.2">
      <c r="A36" s="286"/>
      <c r="B36" s="286"/>
      <c r="C36" s="286"/>
      <c r="D36" s="304"/>
      <c r="E36" s="289" t="s">
        <v>36</v>
      </c>
      <c r="F36" s="290"/>
      <c r="G36" s="73">
        <f>SUM(G22:G35)</f>
        <v>0</v>
      </c>
      <c r="H36" s="73">
        <f>SUM(H22:H35)</f>
        <v>0</v>
      </c>
      <c r="I36" s="11"/>
      <c r="J36" s="258"/>
      <c r="K36" s="258"/>
      <c r="L36" s="258"/>
      <c r="M36" s="258"/>
      <c r="N36" s="258"/>
      <c r="O36" s="258"/>
      <c r="P36" s="258"/>
      <c r="Q36" s="54"/>
      <c r="R36" s="257" t="s">
        <v>51</v>
      </c>
      <c r="S36" s="77"/>
      <c r="T36" s="302" t="s">
        <v>52</v>
      </c>
      <c r="U36" s="302"/>
      <c r="V36" s="78" t="s">
        <v>53</v>
      </c>
      <c r="W36" s="302" t="s">
        <v>54</v>
      </c>
      <c r="X36" s="302"/>
    </row>
    <row r="37" spans="1:34" ht="11.1" customHeight="1" x14ac:dyDescent="0.2">
      <c r="A37" s="258"/>
      <c r="B37" s="258"/>
      <c r="C37" s="258"/>
      <c r="D37" s="258"/>
      <c r="E37" s="258"/>
      <c r="F37" s="258"/>
      <c r="G37" s="258"/>
      <c r="H37" s="258"/>
      <c r="I37" s="9"/>
      <c r="J37" s="259" t="s">
        <v>57</v>
      </c>
      <c r="K37" s="320" t="s">
        <v>62</v>
      </c>
      <c r="L37" s="321"/>
      <c r="M37" s="85">
        <f>AE38</f>
        <v>0</v>
      </c>
      <c r="N37" s="13">
        <v>0</v>
      </c>
      <c r="O37" s="64">
        <f>AF38*N37</f>
        <v>0</v>
      </c>
      <c r="P37" s="64">
        <f>M37*N37</f>
        <v>0</v>
      </c>
      <c r="Q37" s="11"/>
      <c r="R37" s="257"/>
      <c r="S37" s="77"/>
      <c r="T37" s="327" t="s">
        <v>115</v>
      </c>
      <c r="U37" s="328"/>
      <c r="V37" s="78">
        <v>12</v>
      </c>
      <c r="W37" s="283"/>
      <c r="X37" s="284"/>
      <c r="AB37" s="306" t="s">
        <v>57</v>
      </c>
      <c r="AC37" s="64" t="s">
        <v>14</v>
      </c>
      <c r="AD37" s="64" t="s">
        <v>58</v>
      </c>
      <c r="AE37" s="64" t="s">
        <v>55</v>
      </c>
      <c r="AF37" s="79" t="s">
        <v>19</v>
      </c>
      <c r="AG37" s="307" t="s">
        <v>59</v>
      </c>
      <c r="AH37" s="307"/>
    </row>
    <row r="38" spans="1:34" ht="11.1" customHeight="1" x14ac:dyDescent="0.2">
      <c r="A38" s="257" t="s">
        <v>60</v>
      </c>
      <c r="B38" s="274" t="s">
        <v>52</v>
      </c>
      <c r="C38" s="274"/>
      <c r="D38" s="274" t="s">
        <v>61</v>
      </c>
      <c r="E38" s="274"/>
      <c r="F38" s="66" t="s">
        <v>56</v>
      </c>
      <c r="G38" s="64" t="s">
        <v>19</v>
      </c>
      <c r="H38" s="65" t="s">
        <v>12</v>
      </c>
      <c r="I38" s="11"/>
      <c r="J38" s="260"/>
      <c r="K38" s="320" t="s">
        <v>63</v>
      </c>
      <c r="L38" s="321"/>
      <c r="M38" s="85">
        <f>AE39</f>
        <v>783</v>
      </c>
      <c r="N38" s="13">
        <v>0</v>
      </c>
      <c r="O38" s="64">
        <f>AF39*N38</f>
        <v>0</v>
      </c>
      <c r="P38" s="64">
        <f>M38*N38</f>
        <v>0</v>
      </c>
      <c r="Q38" s="54"/>
      <c r="R38" s="257"/>
      <c r="S38" s="77"/>
      <c r="T38" s="329"/>
      <c r="U38" s="330"/>
      <c r="V38" s="78">
        <v>14</v>
      </c>
      <c r="W38" s="283">
        <v>300000</v>
      </c>
      <c r="X38" s="284"/>
      <c r="AB38" s="306"/>
      <c r="AC38" s="70" t="s">
        <v>62</v>
      </c>
      <c r="AD38" s="70">
        <v>10</v>
      </c>
      <c r="AE38" s="86"/>
      <c r="AF38" s="115">
        <v>400</v>
      </c>
      <c r="AG38" s="326">
        <f t="shared" ref="AG38:AG40" si="6">AF38+AE38</f>
        <v>400</v>
      </c>
      <c r="AH38" s="326"/>
    </row>
    <row r="39" spans="1:34" ht="11.1" customHeight="1" x14ac:dyDescent="0.2">
      <c r="A39" s="257"/>
      <c r="B39" s="269"/>
      <c r="C39" s="269"/>
      <c r="D39" s="269">
        <v>0</v>
      </c>
      <c r="E39" s="269"/>
      <c r="F39" s="13">
        <v>0</v>
      </c>
      <c r="G39" s="13">
        <v>0</v>
      </c>
      <c r="H39" s="64">
        <f t="shared" ref="H39:H45" si="7">D39*F39</f>
        <v>0</v>
      </c>
      <c r="I39" s="9"/>
      <c r="J39" s="260"/>
      <c r="K39" s="320" t="s">
        <v>64</v>
      </c>
      <c r="L39" s="321"/>
      <c r="M39" s="85">
        <f>AE40</f>
        <v>1266</v>
      </c>
      <c r="N39" s="13">
        <v>0</v>
      </c>
      <c r="O39" s="64">
        <f>AF40*N39</f>
        <v>0</v>
      </c>
      <c r="P39" s="64">
        <f>M39*N39</f>
        <v>0</v>
      </c>
      <c r="Q39" s="9"/>
      <c r="R39" s="257"/>
      <c r="S39" s="77"/>
      <c r="T39" s="329"/>
      <c r="U39" s="330"/>
      <c r="V39" s="78">
        <v>16</v>
      </c>
      <c r="W39" s="283">
        <v>235000</v>
      </c>
      <c r="X39" s="284"/>
      <c r="AB39" s="306"/>
      <c r="AC39" s="70" t="s">
        <v>63</v>
      </c>
      <c r="AD39" s="70">
        <v>8</v>
      </c>
      <c r="AE39" s="86">
        <v>783</v>
      </c>
      <c r="AF39" s="115">
        <v>500</v>
      </c>
      <c r="AG39" s="326">
        <f t="shared" si="6"/>
        <v>1283</v>
      </c>
      <c r="AH39" s="326"/>
    </row>
    <row r="40" spans="1:34" ht="11.1" customHeight="1" x14ac:dyDescent="0.2">
      <c r="A40" s="257"/>
      <c r="B40" s="269"/>
      <c r="C40" s="269"/>
      <c r="D40" s="269">
        <v>0</v>
      </c>
      <c r="E40" s="269"/>
      <c r="F40" s="13">
        <v>0</v>
      </c>
      <c r="G40" s="13">
        <v>0</v>
      </c>
      <c r="H40" s="64">
        <f t="shared" si="7"/>
        <v>0</v>
      </c>
      <c r="I40" s="9"/>
      <c r="J40" s="260"/>
      <c r="K40" s="320" t="s">
        <v>65</v>
      </c>
      <c r="L40" s="321"/>
      <c r="M40" s="85">
        <f>AE41</f>
        <v>1833</v>
      </c>
      <c r="N40" s="13">
        <v>0</v>
      </c>
      <c r="O40" s="64">
        <f>AF41*N40</f>
        <v>0</v>
      </c>
      <c r="P40" s="64">
        <f>M40*N40</f>
        <v>0</v>
      </c>
      <c r="Q40" s="9"/>
      <c r="R40" s="257"/>
      <c r="S40" s="77"/>
      <c r="T40" s="329"/>
      <c r="U40" s="330"/>
      <c r="V40" s="78">
        <v>18</v>
      </c>
      <c r="W40" s="283">
        <v>175000</v>
      </c>
      <c r="X40" s="284"/>
      <c r="AB40" s="306"/>
      <c r="AC40" s="70" t="s">
        <v>64</v>
      </c>
      <c r="AD40" s="70">
        <v>6</v>
      </c>
      <c r="AE40" s="86">
        <v>1266</v>
      </c>
      <c r="AF40" s="115">
        <v>500</v>
      </c>
      <c r="AG40" s="326">
        <f t="shared" si="6"/>
        <v>1766</v>
      </c>
      <c r="AH40" s="326"/>
    </row>
    <row r="41" spans="1:34" ht="11.1" customHeight="1" x14ac:dyDescent="0.2">
      <c r="A41" s="257"/>
      <c r="B41" s="269"/>
      <c r="C41" s="269"/>
      <c r="D41" s="269">
        <v>0</v>
      </c>
      <c r="E41" s="269"/>
      <c r="F41" s="13">
        <v>0</v>
      </c>
      <c r="G41" s="87">
        <v>0</v>
      </c>
      <c r="H41" s="64">
        <f t="shared" si="7"/>
        <v>0</v>
      </c>
      <c r="I41" s="9"/>
      <c r="J41" s="261"/>
      <c r="K41" s="324" t="s">
        <v>66</v>
      </c>
      <c r="L41" s="325"/>
      <c r="M41" s="85">
        <f>AE42</f>
        <v>3166</v>
      </c>
      <c r="N41" s="13">
        <v>0</v>
      </c>
      <c r="O41" s="64">
        <f>AF42*N41</f>
        <v>0</v>
      </c>
      <c r="P41" s="64">
        <f>M41*N41</f>
        <v>0</v>
      </c>
      <c r="Q41" s="9"/>
      <c r="R41" s="257"/>
      <c r="S41" s="77"/>
      <c r="T41" s="329"/>
      <c r="U41" s="330"/>
      <c r="V41" s="78">
        <v>20</v>
      </c>
      <c r="W41" s="283">
        <v>140000</v>
      </c>
      <c r="X41" s="284"/>
      <c r="AB41" s="306"/>
      <c r="AC41" s="70" t="s">
        <v>65</v>
      </c>
      <c r="AD41" s="70">
        <v>4</v>
      </c>
      <c r="AE41" s="86">
        <v>1833</v>
      </c>
      <c r="AF41" s="115">
        <v>500</v>
      </c>
      <c r="AG41" s="326">
        <f>AF41+AE41</f>
        <v>2333</v>
      </c>
      <c r="AH41" s="326"/>
    </row>
    <row r="42" spans="1:34" ht="11.1" customHeight="1" x14ac:dyDescent="0.2">
      <c r="A42" s="257"/>
      <c r="B42" s="269"/>
      <c r="C42" s="269"/>
      <c r="D42" s="269">
        <v>0</v>
      </c>
      <c r="E42" s="269"/>
      <c r="F42" s="19">
        <v>0</v>
      </c>
      <c r="G42" s="13">
        <v>0</v>
      </c>
      <c r="H42" s="64">
        <f t="shared" si="7"/>
        <v>0</v>
      </c>
      <c r="I42" s="9"/>
      <c r="J42" s="333"/>
      <c r="K42" s="333"/>
      <c r="L42" s="334"/>
      <c r="M42" s="262" t="s">
        <v>36</v>
      </c>
      <c r="N42" s="262"/>
      <c r="O42" s="84">
        <f>SUM(O37:O41)</f>
        <v>0</v>
      </c>
      <c r="P42" s="84">
        <f>SUM(P37:P41)</f>
        <v>0</v>
      </c>
      <c r="R42" s="257"/>
      <c r="S42" s="77"/>
      <c r="T42" s="329"/>
      <c r="U42" s="330"/>
      <c r="V42" s="63">
        <v>22</v>
      </c>
      <c r="W42" s="335">
        <v>122000</v>
      </c>
      <c r="X42" s="336"/>
      <c r="AB42" s="306"/>
      <c r="AC42" s="88" t="s">
        <v>66</v>
      </c>
      <c r="AD42" s="88" t="s">
        <v>67</v>
      </c>
      <c r="AE42" s="86">
        <v>3166</v>
      </c>
      <c r="AF42" s="115">
        <v>500</v>
      </c>
      <c r="AG42" s="326">
        <f>AF42+AE42</f>
        <v>3666</v>
      </c>
      <c r="AH42" s="326"/>
    </row>
    <row r="43" spans="1:34" ht="11.1" customHeight="1" x14ac:dyDescent="0.2">
      <c r="A43" s="257"/>
      <c r="B43" s="269"/>
      <c r="C43" s="269"/>
      <c r="D43" s="269">
        <v>0</v>
      </c>
      <c r="E43" s="269"/>
      <c r="F43" s="19">
        <v>0</v>
      </c>
      <c r="G43" s="13">
        <v>0</v>
      </c>
      <c r="H43" s="64">
        <f t="shared" si="7"/>
        <v>0</v>
      </c>
      <c r="I43" s="9"/>
      <c r="J43" s="337"/>
      <c r="K43" s="337"/>
      <c r="L43" s="337"/>
      <c r="M43" s="337"/>
      <c r="N43" s="337"/>
      <c r="O43" s="337"/>
      <c r="P43" s="337"/>
      <c r="Q43" s="9"/>
      <c r="R43" s="257" t="s">
        <v>51</v>
      </c>
      <c r="S43" s="77"/>
      <c r="T43" s="338" t="s">
        <v>116</v>
      </c>
      <c r="U43" s="274"/>
      <c r="V43" s="78">
        <v>12</v>
      </c>
      <c r="W43" s="331"/>
      <c r="X43" s="331"/>
    </row>
    <row r="44" spans="1:34" ht="11.1" customHeight="1" x14ac:dyDescent="0.2">
      <c r="A44" s="257"/>
      <c r="B44" s="269"/>
      <c r="C44" s="269"/>
      <c r="D44" s="269">
        <v>0</v>
      </c>
      <c r="E44" s="269"/>
      <c r="F44" s="19">
        <v>0</v>
      </c>
      <c r="G44" s="13">
        <v>0</v>
      </c>
      <c r="H44" s="64">
        <f t="shared" si="7"/>
        <v>0</v>
      </c>
      <c r="I44" s="11"/>
      <c r="J44" s="291" t="s">
        <v>68</v>
      </c>
      <c r="K44" s="307" t="s">
        <v>14</v>
      </c>
      <c r="L44" s="307"/>
      <c r="M44" s="64" t="s">
        <v>55</v>
      </c>
      <c r="N44" s="89" t="s">
        <v>56</v>
      </c>
      <c r="O44" s="64" t="s">
        <v>19</v>
      </c>
      <c r="P44" s="65" t="s">
        <v>12</v>
      </c>
      <c r="Q44" s="11"/>
      <c r="R44" s="257"/>
      <c r="S44" s="77"/>
      <c r="T44" s="274"/>
      <c r="U44" s="274"/>
      <c r="V44" s="78">
        <v>14</v>
      </c>
      <c r="W44" s="332">
        <v>215000</v>
      </c>
      <c r="X44" s="332"/>
      <c r="AB44" s="306" t="s">
        <v>69</v>
      </c>
      <c r="AC44" s="353" t="s">
        <v>14</v>
      </c>
      <c r="AD44" s="353"/>
      <c r="AE44" s="64" t="s">
        <v>55</v>
      </c>
      <c r="AF44" s="79" t="s">
        <v>19</v>
      </c>
      <c r="AG44" s="315" t="s">
        <v>59</v>
      </c>
      <c r="AH44" s="316"/>
    </row>
    <row r="45" spans="1:34" ht="11.1" customHeight="1" x14ac:dyDescent="0.2">
      <c r="A45" s="257"/>
      <c r="B45" s="269"/>
      <c r="C45" s="269"/>
      <c r="D45" s="269">
        <v>0</v>
      </c>
      <c r="E45" s="269"/>
      <c r="F45" s="19">
        <v>0</v>
      </c>
      <c r="G45" s="13">
        <v>0</v>
      </c>
      <c r="H45" s="64">
        <f t="shared" si="7"/>
        <v>0</v>
      </c>
      <c r="I45" s="9"/>
      <c r="J45" s="291"/>
      <c r="K45" s="269"/>
      <c r="L45" s="269"/>
      <c r="M45" s="13">
        <v>0</v>
      </c>
      <c r="N45" s="13">
        <v>0</v>
      </c>
      <c r="O45" s="13">
        <v>0</v>
      </c>
      <c r="P45" s="64">
        <f t="shared" ref="P45:P52" si="8">M45*N45</f>
        <v>0</v>
      </c>
      <c r="Q45" s="9"/>
      <c r="R45" s="257"/>
      <c r="S45" s="77"/>
      <c r="T45" s="274"/>
      <c r="U45" s="274"/>
      <c r="V45" s="78">
        <v>16</v>
      </c>
      <c r="W45" s="332">
        <v>160000</v>
      </c>
      <c r="X45" s="332"/>
      <c r="AB45" s="306"/>
      <c r="AC45" s="302" t="s">
        <v>72</v>
      </c>
      <c r="AD45" s="302"/>
      <c r="AE45" s="48">
        <v>3400</v>
      </c>
      <c r="AF45" s="81">
        <f>W56*0.04</f>
        <v>560</v>
      </c>
      <c r="AG45" s="279">
        <f>AF45+AE45</f>
        <v>3960</v>
      </c>
      <c r="AH45" s="280"/>
    </row>
    <row r="46" spans="1:34" ht="11.1" customHeight="1" x14ac:dyDescent="0.2">
      <c r="A46" s="275"/>
      <c r="B46" s="275"/>
      <c r="C46" s="275"/>
      <c r="D46" s="276"/>
      <c r="E46" s="262" t="s">
        <v>36</v>
      </c>
      <c r="F46" s="262"/>
      <c r="G46" s="73">
        <f>SUM(G39:G45)</f>
        <v>0</v>
      </c>
      <c r="H46" s="73">
        <f>SUM(H39:H45)</f>
        <v>0</v>
      </c>
      <c r="I46" s="9"/>
      <c r="J46" s="291"/>
      <c r="K46" s="269"/>
      <c r="L46" s="269"/>
      <c r="M46" s="13">
        <v>0</v>
      </c>
      <c r="N46" s="13">
        <v>0</v>
      </c>
      <c r="O46" s="13">
        <v>0</v>
      </c>
      <c r="P46" s="64">
        <f t="shared" si="8"/>
        <v>0</v>
      </c>
      <c r="Q46" s="9"/>
      <c r="R46" s="257"/>
      <c r="S46" s="77"/>
      <c r="T46" s="274"/>
      <c r="U46" s="274"/>
      <c r="V46" s="78">
        <v>18</v>
      </c>
      <c r="W46" s="332">
        <v>130000</v>
      </c>
      <c r="X46" s="332"/>
      <c r="AB46" s="306"/>
      <c r="AC46" s="302" t="s">
        <v>73</v>
      </c>
      <c r="AD46" s="302"/>
      <c r="AE46" s="48">
        <v>3400</v>
      </c>
      <c r="AF46" s="81">
        <f>W56*0.06</f>
        <v>840</v>
      </c>
      <c r="AG46" s="279">
        <f>AF46+AE46</f>
        <v>4240</v>
      </c>
      <c r="AH46" s="280"/>
    </row>
    <row r="47" spans="1:34" ht="11.1" customHeight="1" x14ac:dyDescent="0.2">
      <c r="A47" s="352"/>
      <c r="B47" s="352"/>
      <c r="C47" s="352"/>
      <c r="D47" s="352"/>
      <c r="E47" s="352"/>
      <c r="F47" s="352"/>
      <c r="G47" s="352"/>
      <c r="H47" s="352"/>
      <c r="I47" s="9"/>
      <c r="J47" s="291"/>
      <c r="K47" s="269"/>
      <c r="L47" s="269"/>
      <c r="M47" s="13">
        <v>0</v>
      </c>
      <c r="N47" s="13">
        <v>0</v>
      </c>
      <c r="O47" s="13">
        <v>0</v>
      </c>
      <c r="P47" s="64">
        <f t="shared" si="8"/>
        <v>0</v>
      </c>
      <c r="Q47" s="9"/>
      <c r="R47" s="257"/>
      <c r="S47" s="77"/>
      <c r="T47" s="274"/>
      <c r="U47" s="274"/>
      <c r="V47" s="78">
        <v>20</v>
      </c>
      <c r="W47" s="332">
        <v>100000</v>
      </c>
      <c r="X47" s="332"/>
      <c r="AB47" s="306"/>
      <c r="AC47" s="302"/>
      <c r="AD47" s="302"/>
      <c r="AE47" s="48"/>
      <c r="AF47" s="48"/>
      <c r="AG47" s="298"/>
      <c r="AH47" s="299"/>
    </row>
    <row r="48" spans="1:34" ht="11.1" customHeight="1" x14ac:dyDescent="0.2">
      <c r="A48" s="295" t="s">
        <v>70</v>
      </c>
      <c r="B48" s="293" t="s">
        <v>52</v>
      </c>
      <c r="C48" s="294"/>
      <c r="D48" s="293" t="s">
        <v>71</v>
      </c>
      <c r="E48" s="294"/>
      <c r="F48" s="66" t="s">
        <v>56</v>
      </c>
      <c r="G48" s="64" t="s">
        <v>19</v>
      </c>
      <c r="H48" s="65" t="s">
        <v>12</v>
      </c>
      <c r="I48" s="9"/>
      <c r="J48" s="291"/>
      <c r="K48" s="269"/>
      <c r="L48" s="269"/>
      <c r="M48" s="13">
        <v>0</v>
      </c>
      <c r="N48" s="13">
        <v>0</v>
      </c>
      <c r="O48" s="13">
        <v>0</v>
      </c>
      <c r="P48" s="64">
        <f t="shared" si="8"/>
        <v>0</v>
      </c>
      <c r="Q48" s="9"/>
      <c r="R48" s="257"/>
      <c r="S48" s="77"/>
      <c r="T48" s="274"/>
      <c r="U48" s="274"/>
      <c r="V48" s="78">
        <v>22</v>
      </c>
      <c r="W48" s="332">
        <v>80000</v>
      </c>
      <c r="X48" s="332"/>
      <c r="AB48" s="306"/>
      <c r="AC48" s="302"/>
      <c r="AD48" s="302"/>
      <c r="AE48" s="48"/>
      <c r="AF48" s="48"/>
      <c r="AG48" s="298"/>
      <c r="AH48" s="299"/>
    </row>
    <row r="49" spans="1:34" ht="11.1" customHeight="1" x14ac:dyDescent="0.2">
      <c r="A49" s="296"/>
      <c r="B49" s="298"/>
      <c r="C49" s="299"/>
      <c r="D49" s="298">
        <v>0</v>
      </c>
      <c r="E49" s="299"/>
      <c r="F49" s="13">
        <v>0</v>
      </c>
      <c r="G49" s="13">
        <v>0</v>
      </c>
      <c r="H49" s="64">
        <f>D49*F49</f>
        <v>0</v>
      </c>
      <c r="I49" s="9"/>
      <c r="J49" s="291"/>
      <c r="K49" s="269"/>
      <c r="L49" s="269"/>
      <c r="M49" s="13">
        <v>0</v>
      </c>
      <c r="N49" s="13">
        <v>0</v>
      </c>
      <c r="O49" s="13">
        <v>0</v>
      </c>
      <c r="P49" s="64">
        <f t="shared" si="8"/>
        <v>0</v>
      </c>
      <c r="Q49" s="9"/>
      <c r="R49" s="257" t="s">
        <v>74</v>
      </c>
      <c r="S49" s="77"/>
      <c r="T49" s="327" t="s">
        <v>114</v>
      </c>
      <c r="U49" s="343"/>
      <c r="V49" s="78" t="s">
        <v>45</v>
      </c>
      <c r="W49" s="332">
        <v>440000</v>
      </c>
      <c r="X49" s="332"/>
      <c r="AB49" s="306"/>
      <c r="AC49" s="355"/>
      <c r="AD49" s="355"/>
      <c r="AE49" s="48"/>
      <c r="AF49" s="48"/>
      <c r="AG49" s="298"/>
      <c r="AH49" s="299"/>
    </row>
    <row r="50" spans="1:34" ht="11.1" customHeight="1" x14ac:dyDescent="0.2">
      <c r="A50" s="296"/>
      <c r="B50" s="298"/>
      <c r="C50" s="299"/>
      <c r="D50" s="298">
        <v>0</v>
      </c>
      <c r="E50" s="299"/>
      <c r="F50" s="13">
        <v>0</v>
      </c>
      <c r="G50" s="13">
        <v>0</v>
      </c>
      <c r="H50" s="64">
        <f>D50*F50</f>
        <v>0</v>
      </c>
      <c r="I50" s="9"/>
      <c r="J50" s="291"/>
      <c r="K50" s="269"/>
      <c r="L50" s="269"/>
      <c r="M50" s="13">
        <v>0</v>
      </c>
      <c r="N50" s="13">
        <v>0</v>
      </c>
      <c r="O50" s="13">
        <v>0</v>
      </c>
      <c r="P50" s="64">
        <f t="shared" si="8"/>
        <v>0</v>
      </c>
      <c r="Q50" s="9"/>
      <c r="R50" s="257"/>
      <c r="S50" s="77"/>
      <c r="T50" s="344"/>
      <c r="U50" s="345"/>
      <c r="V50" s="78" t="s">
        <v>46</v>
      </c>
      <c r="W50" s="332">
        <v>670000</v>
      </c>
      <c r="X50" s="332"/>
    </row>
    <row r="51" spans="1:34" ht="11.1" customHeight="1" x14ac:dyDescent="0.2">
      <c r="A51" s="296"/>
      <c r="B51" s="298"/>
      <c r="C51" s="299"/>
      <c r="D51" s="298">
        <v>0</v>
      </c>
      <c r="E51" s="299"/>
      <c r="F51" s="13">
        <v>0</v>
      </c>
      <c r="G51" s="13">
        <v>0</v>
      </c>
      <c r="H51" s="64">
        <f>D51*F51</f>
        <v>0</v>
      </c>
      <c r="I51" s="9"/>
      <c r="J51" s="291"/>
      <c r="K51" s="339" t="s">
        <v>118</v>
      </c>
      <c r="L51" s="339"/>
      <c r="M51" s="106">
        <v>50</v>
      </c>
      <c r="N51" s="13">
        <v>0</v>
      </c>
      <c r="O51" s="13">
        <v>0</v>
      </c>
      <c r="P51" s="64">
        <f t="shared" si="8"/>
        <v>0</v>
      </c>
      <c r="Q51" s="54"/>
      <c r="R51" s="257"/>
      <c r="S51" s="77"/>
      <c r="T51" s="344"/>
      <c r="U51" s="345"/>
      <c r="V51" s="78" t="s">
        <v>47</v>
      </c>
      <c r="W51" s="332">
        <v>895000</v>
      </c>
      <c r="X51" s="332"/>
      <c r="AB51" s="306" t="s">
        <v>117</v>
      </c>
      <c r="AC51" s="353" t="s">
        <v>14</v>
      </c>
      <c r="AD51" s="353"/>
      <c r="AE51" s="353" t="s">
        <v>120</v>
      </c>
      <c r="AF51" s="353"/>
    </row>
    <row r="52" spans="1:34" ht="11.1" customHeight="1" x14ac:dyDescent="0.2">
      <c r="A52" s="297"/>
      <c r="B52" s="298"/>
      <c r="C52" s="299"/>
      <c r="D52" s="298">
        <v>0</v>
      </c>
      <c r="E52" s="299"/>
      <c r="F52" s="13">
        <v>0</v>
      </c>
      <c r="G52" s="13">
        <v>0</v>
      </c>
      <c r="H52" s="64">
        <f>D52*F52</f>
        <v>0</v>
      </c>
      <c r="I52" s="9"/>
      <c r="J52" s="291"/>
      <c r="K52" s="339" t="s">
        <v>141</v>
      </c>
      <c r="L52" s="339"/>
      <c r="M52" s="106">
        <v>500</v>
      </c>
      <c r="N52" s="13">
        <v>0</v>
      </c>
      <c r="O52" s="13">
        <v>0</v>
      </c>
      <c r="P52" s="64">
        <f t="shared" si="8"/>
        <v>0</v>
      </c>
      <c r="Q52" s="54"/>
      <c r="R52" s="257"/>
      <c r="S52" s="77"/>
      <c r="T52" s="327" t="s">
        <v>112</v>
      </c>
      <c r="U52" s="343"/>
      <c r="V52" s="78" t="s">
        <v>45</v>
      </c>
      <c r="W52" s="332">
        <v>315000</v>
      </c>
      <c r="X52" s="332"/>
      <c r="AB52" s="306"/>
      <c r="AC52" s="302" t="s">
        <v>118</v>
      </c>
      <c r="AD52" s="302"/>
      <c r="AE52" s="354">
        <v>1200</v>
      </c>
      <c r="AF52" s="354"/>
    </row>
    <row r="53" spans="1:34" ht="11.1" customHeight="1" x14ac:dyDescent="0.2">
      <c r="A53" s="275"/>
      <c r="B53" s="275"/>
      <c r="C53" s="275"/>
      <c r="D53" s="276"/>
      <c r="E53" s="71" t="s">
        <v>36</v>
      </c>
      <c r="F53" s="72"/>
      <c r="G53" s="73">
        <f>SUM(G49:G52)</f>
        <v>0</v>
      </c>
      <c r="H53" s="73">
        <f>SUM(H49:H52)</f>
        <v>0</v>
      </c>
      <c r="I53" s="9"/>
      <c r="J53" s="275"/>
      <c r="K53" s="275"/>
      <c r="L53" s="276"/>
      <c r="M53" s="278" t="s">
        <v>36</v>
      </c>
      <c r="N53" s="278"/>
      <c r="O53" s="84">
        <f>SUM(O45:O52)</f>
        <v>0</v>
      </c>
      <c r="P53" s="73">
        <f>SUM(P45:P52)</f>
        <v>0</v>
      </c>
      <c r="Q53" s="54"/>
      <c r="R53" s="257"/>
      <c r="S53" s="77"/>
      <c r="T53" s="344"/>
      <c r="U53" s="345"/>
      <c r="V53" s="78" t="s">
        <v>46</v>
      </c>
      <c r="W53" s="332">
        <v>475000</v>
      </c>
      <c r="X53" s="332"/>
      <c r="AB53" s="306"/>
      <c r="AC53" s="302" t="s">
        <v>141</v>
      </c>
      <c r="AD53" s="302"/>
      <c r="AE53" s="354">
        <v>1200</v>
      </c>
      <c r="AF53" s="354"/>
    </row>
    <row r="54" spans="1:34" ht="11.1" customHeight="1" x14ac:dyDescent="0.2">
      <c r="A54" s="242"/>
      <c r="B54" s="242"/>
      <c r="C54" s="242"/>
      <c r="D54" s="242"/>
      <c r="E54" s="242"/>
      <c r="F54" s="242"/>
      <c r="G54" s="242"/>
      <c r="H54" s="242"/>
      <c r="I54" s="9"/>
      <c r="J54" s="272"/>
      <c r="K54" s="272"/>
      <c r="L54" s="272"/>
      <c r="M54" s="272"/>
      <c r="N54" s="272"/>
      <c r="O54" s="272"/>
      <c r="P54" s="272"/>
      <c r="Q54" s="93"/>
      <c r="R54" s="257"/>
      <c r="S54" s="77"/>
      <c r="T54" s="344"/>
      <c r="U54" s="345"/>
      <c r="V54" s="78" t="s">
        <v>47</v>
      </c>
      <c r="W54" s="332">
        <v>635000</v>
      </c>
      <c r="X54" s="332"/>
      <c r="AB54" s="306"/>
      <c r="AC54" s="302" t="s">
        <v>119</v>
      </c>
      <c r="AD54" s="302"/>
      <c r="AE54" s="354">
        <v>8000</v>
      </c>
      <c r="AF54" s="354"/>
    </row>
    <row r="55" spans="1:34" ht="11.1" customHeight="1" x14ac:dyDescent="0.2">
      <c r="A55" s="271"/>
      <c r="B55" s="350"/>
      <c r="C55" s="351"/>
      <c r="D55" s="90" t="s">
        <v>56</v>
      </c>
      <c r="E55" s="281" t="s">
        <v>76</v>
      </c>
      <c r="F55" s="282"/>
      <c r="G55" s="88" t="s">
        <v>19</v>
      </c>
      <c r="H55" s="65" t="s">
        <v>12</v>
      </c>
      <c r="I55" s="9"/>
      <c r="J55" s="272"/>
      <c r="K55" s="273"/>
      <c r="L55" s="274" t="s">
        <v>75</v>
      </c>
      <c r="M55" s="274"/>
      <c r="N55" s="274"/>
      <c r="O55" s="277">
        <f>H19+H36+H46+H53+H59+P12+P18+P27+P35+P42+P53</f>
        <v>0</v>
      </c>
      <c r="P55" s="277"/>
      <c r="Q55" s="9"/>
      <c r="R55" s="9"/>
      <c r="AB55" s="306"/>
      <c r="AC55" s="302"/>
      <c r="AD55" s="302"/>
      <c r="AE55" s="305"/>
      <c r="AF55" s="305"/>
    </row>
    <row r="56" spans="1:34" ht="11.1" customHeight="1" x14ac:dyDescent="0.2">
      <c r="A56" s="271"/>
      <c r="B56" s="281" t="s">
        <v>78</v>
      </c>
      <c r="C56" s="282"/>
      <c r="D56" s="82">
        <v>0</v>
      </c>
      <c r="E56" s="281">
        <f>AE45</f>
        <v>3400</v>
      </c>
      <c r="F56" s="282"/>
      <c r="G56" s="88">
        <f>AF45*D56</f>
        <v>0</v>
      </c>
      <c r="H56" s="81">
        <f>D56*E56</f>
        <v>0</v>
      </c>
      <c r="J56" s="272"/>
      <c r="K56" s="273"/>
      <c r="L56" s="302" t="s">
        <v>77</v>
      </c>
      <c r="M56" s="302"/>
      <c r="N56" s="302"/>
      <c r="O56" s="270">
        <v>2.2000000000000002</v>
      </c>
      <c r="P56" s="270"/>
      <c r="R56" s="340" t="s">
        <v>104</v>
      </c>
      <c r="S56" s="341"/>
      <c r="T56" s="341"/>
      <c r="U56" s="341"/>
      <c r="V56" s="342"/>
      <c r="W56" s="332">
        <v>14000</v>
      </c>
      <c r="X56" s="332"/>
      <c r="AB56" s="306"/>
      <c r="AC56" s="355"/>
      <c r="AD56" s="355"/>
      <c r="AE56" s="354"/>
      <c r="AF56" s="354"/>
    </row>
    <row r="57" spans="1:34" ht="11.1" customHeight="1" x14ac:dyDescent="0.2">
      <c r="A57" s="271"/>
      <c r="B57" s="281" t="s">
        <v>73</v>
      </c>
      <c r="C57" s="282"/>
      <c r="D57" s="82">
        <v>0</v>
      </c>
      <c r="E57" s="281">
        <f>AE46</f>
        <v>3400</v>
      </c>
      <c r="F57" s="282"/>
      <c r="G57" s="88">
        <f>AF46*D57</f>
        <v>0</v>
      </c>
      <c r="H57" s="81">
        <f>D57*E57</f>
        <v>0</v>
      </c>
      <c r="J57" s="272"/>
      <c r="K57" s="273"/>
      <c r="L57" s="308" t="s">
        <v>36</v>
      </c>
      <c r="M57" s="308"/>
      <c r="N57" s="308"/>
      <c r="O57" s="266">
        <f>O56*O55</f>
        <v>0</v>
      </c>
      <c r="P57" s="266"/>
      <c r="R57" s="340" t="s">
        <v>105</v>
      </c>
      <c r="S57" s="341"/>
      <c r="T57" s="341"/>
      <c r="U57" s="341"/>
      <c r="V57" s="342"/>
      <c r="W57" s="332">
        <v>16000</v>
      </c>
      <c r="X57" s="332"/>
    </row>
    <row r="58" spans="1:34" ht="11.1" customHeight="1" x14ac:dyDescent="0.2">
      <c r="A58" s="271"/>
      <c r="B58" s="281" t="s">
        <v>34</v>
      </c>
      <c r="C58" s="282"/>
      <c r="D58" s="82">
        <v>0</v>
      </c>
      <c r="E58" s="283">
        <v>0</v>
      </c>
      <c r="F58" s="284"/>
      <c r="G58" s="48">
        <v>0</v>
      </c>
      <c r="H58" s="81">
        <f>D58*E58</f>
        <v>0</v>
      </c>
      <c r="J58" s="272"/>
      <c r="K58" s="273"/>
      <c r="L58" s="9"/>
      <c r="M58" s="9"/>
      <c r="N58" s="9"/>
      <c r="O58" s="9"/>
      <c r="P58" s="9"/>
    </row>
    <row r="59" spans="1:34" ht="11.1" customHeight="1" x14ac:dyDescent="0.2">
      <c r="A59" s="242"/>
      <c r="B59" s="242"/>
      <c r="C59" s="242"/>
      <c r="D59" s="271"/>
      <c r="E59" s="71" t="s">
        <v>36</v>
      </c>
      <c r="F59" s="72"/>
      <c r="G59" s="74">
        <f>G56+G57+G58</f>
        <v>0</v>
      </c>
      <c r="H59" s="74">
        <f>H56+H57+H58</f>
        <v>0</v>
      </c>
      <c r="J59" s="272"/>
      <c r="K59" s="273"/>
      <c r="L59" s="263" t="s">
        <v>19</v>
      </c>
      <c r="M59" s="264"/>
      <c r="N59" s="265"/>
      <c r="O59" s="267">
        <f>G19+G36+G46+G53+G59+O12+O18+O27+O35+O42+O53</f>
        <v>0</v>
      </c>
      <c r="P59" s="268"/>
      <c r="R59" s="340" t="s">
        <v>121</v>
      </c>
      <c r="S59" s="341"/>
      <c r="T59" s="341"/>
      <c r="U59" s="341"/>
      <c r="V59" s="342"/>
      <c r="W59" s="332">
        <v>8000</v>
      </c>
      <c r="X59" s="332"/>
    </row>
    <row r="60" spans="1:34" ht="11.1" customHeight="1" x14ac:dyDescent="0.2"/>
    <row r="61" spans="1:34" ht="11.1" customHeight="1" x14ac:dyDescent="0.2"/>
    <row r="62" spans="1:34" ht="11.1" customHeight="1" x14ac:dyDescent="0.2">
      <c r="J62" s="91"/>
      <c r="K62" s="91"/>
      <c r="L62" s="57"/>
      <c r="M62" s="57"/>
      <c r="N62" s="57"/>
      <c r="O62" s="95"/>
      <c r="P62" s="56"/>
    </row>
    <row r="63" spans="1:34" ht="11.1" customHeight="1" x14ac:dyDescent="0.2">
      <c r="J63" s="91"/>
      <c r="K63" s="91"/>
      <c r="L63" s="57"/>
      <c r="M63" s="57"/>
      <c r="N63" s="57"/>
      <c r="O63" s="56"/>
      <c r="P63" s="56"/>
    </row>
    <row r="64" spans="1:34" ht="11.1" customHeight="1" x14ac:dyDescent="0.2">
      <c r="J64" s="91"/>
      <c r="K64" s="91"/>
      <c r="L64" s="59"/>
      <c r="M64" s="59"/>
      <c r="N64" s="59"/>
      <c r="O64" s="58"/>
      <c r="P64" s="58"/>
    </row>
    <row r="65" spans="10:16" ht="11.1" customHeight="1" x14ac:dyDescent="0.2">
      <c r="J65" s="56"/>
      <c r="K65" s="56"/>
      <c r="L65" s="56"/>
      <c r="M65" s="56"/>
      <c r="N65" s="56"/>
      <c r="O65" s="56"/>
      <c r="P65" s="56"/>
    </row>
    <row r="66" spans="10:16" ht="11.1" customHeight="1" x14ac:dyDescent="0.2">
      <c r="J66" s="56"/>
      <c r="K66" s="56"/>
      <c r="L66" s="59"/>
      <c r="M66" s="59"/>
      <c r="N66" s="59"/>
      <c r="O66" s="60"/>
      <c r="P66" s="60"/>
    </row>
    <row r="67" spans="10:16" ht="11.1" customHeight="1" x14ac:dyDescent="0.2"/>
    <row r="68" spans="10:16" ht="11.1" customHeight="1" x14ac:dyDescent="0.2"/>
    <row r="69" spans="10:16" ht="11.1" customHeight="1" x14ac:dyDescent="0.2"/>
    <row r="70" spans="10:16" ht="9.9499999999999993" customHeight="1" x14ac:dyDescent="0.2"/>
    <row r="71" spans="10:16" ht="9.9499999999999993" customHeight="1" x14ac:dyDescent="0.2"/>
    <row r="72" spans="10:16" ht="9.9499999999999993" customHeight="1" x14ac:dyDescent="0.2"/>
    <row r="73" spans="10:16" ht="9.9499999999999993" customHeight="1" x14ac:dyDescent="0.2"/>
    <row r="74" spans="10:16" ht="9.9499999999999993" customHeight="1" x14ac:dyDescent="0.2"/>
    <row r="75" spans="10:16" ht="9.9499999999999993" customHeight="1" x14ac:dyDescent="0.2"/>
    <row r="76" spans="10:16" ht="9.9499999999999993" customHeight="1" x14ac:dyDescent="0.2"/>
    <row r="77" spans="10:16" ht="9.9499999999999993" customHeight="1" x14ac:dyDescent="0.2"/>
    <row r="78" spans="10:16" ht="9.9499999999999993" customHeight="1" x14ac:dyDescent="0.2"/>
    <row r="79" spans="10:16" ht="9.9499999999999993" customHeight="1" x14ac:dyDescent="0.2"/>
    <row r="80" spans="10:16" ht="9.9499999999999993" customHeight="1" x14ac:dyDescent="0.2"/>
    <row r="81" ht="9.9499999999999993" customHeight="1" x14ac:dyDescent="0.2"/>
    <row r="82" ht="9.9499999999999993" customHeight="1" x14ac:dyDescent="0.2"/>
    <row r="83" ht="9.9499999999999993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</sheetData>
  <sheetProtection sheet="1" selectLockedCells="1"/>
  <mergeCells count="227">
    <mergeCell ref="AC46:AD46"/>
    <mergeCell ref="AE51:AF51"/>
    <mergeCell ref="AB51:AB56"/>
    <mergeCell ref="AE54:AF54"/>
    <mergeCell ref="AC54:AD54"/>
    <mergeCell ref="AE56:AF56"/>
    <mergeCell ref="AC53:AD53"/>
    <mergeCell ref="AG44:AH44"/>
    <mergeCell ref="AG45:AH45"/>
    <mergeCell ref="AG46:AH46"/>
    <mergeCell ref="AG47:AH47"/>
    <mergeCell ref="AG48:AH48"/>
    <mergeCell ref="AE53:AF53"/>
    <mergeCell ref="AG49:AH49"/>
    <mergeCell ref="AE52:AF52"/>
    <mergeCell ref="AC55:AD55"/>
    <mergeCell ref="AE55:AF55"/>
    <mergeCell ref="AC56:AD56"/>
    <mergeCell ref="AC47:AD47"/>
    <mergeCell ref="AB44:AB49"/>
    <mergeCell ref="AC44:AD44"/>
    <mergeCell ref="AC48:AD48"/>
    <mergeCell ref="AC49:AD49"/>
    <mergeCell ref="AC51:AD51"/>
    <mergeCell ref="A22:A35"/>
    <mergeCell ref="Y22:Z22"/>
    <mergeCell ref="R21:R33"/>
    <mergeCell ref="J28:P28"/>
    <mergeCell ref="Y28:Z28"/>
    <mergeCell ref="Y29:Z29"/>
    <mergeCell ref="Y32:Z32"/>
    <mergeCell ref="J27:L27"/>
    <mergeCell ref="W56:X56"/>
    <mergeCell ref="E56:F56"/>
    <mergeCell ref="R56:V56"/>
    <mergeCell ref="B55:C55"/>
    <mergeCell ref="E55:F55"/>
    <mergeCell ref="B56:C56"/>
    <mergeCell ref="R49:R54"/>
    <mergeCell ref="W51:X51"/>
    <mergeCell ref="W54:X54"/>
    <mergeCell ref="T52:U54"/>
    <mergeCell ref="W47:X47"/>
    <mergeCell ref="W48:X48"/>
    <mergeCell ref="A46:D46"/>
    <mergeCell ref="A47:H47"/>
    <mergeCell ref="K48:L48"/>
    <mergeCell ref="K47:L47"/>
    <mergeCell ref="W59:X59"/>
    <mergeCell ref="W57:X57"/>
    <mergeCell ref="W52:X52"/>
    <mergeCell ref="W53:X53"/>
    <mergeCell ref="AC52:AD52"/>
    <mergeCell ref="R57:V57"/>
    <mergeCell ref="R59:V59"/>
    <mergeCell ref="B49:C49"/>
    <mergeCell ref="B50:C50"/>
    <mergeCell ref="T49:U51"/>
    <mergeCell ref="W49:X49"/>
    <mergeCell ref="W50:X50"/>
    <mergeCell ref="D48:E48"/>
    <mergeCell ref="W46:X46"/>
    <mergeCell ref="E46:F46"/>
    <mergeCell ref="R43:R48"/>
    <mergeCell ref="T43:U48"/>
    <mergeCell ref="B44:C44"/>
    <mergeCell ref="W45:X45"/>
    <mergeCell ref="J44:J52"/>
    <mergeCell ref="K44:L44"/>
    <mergeCell ref="K52:L52"/>
    <mergeCell ref="K46:L46"/>
    <mergeCell ref="K45:L45"/>
    <mergeCell ref="K51:L51"/>
    <mergeCell ref="D38:E38"/>
    <mergeCell ref="K38:L38"/>
    <mergeCell ref="W38:X38"/>
    <mergeCell ref="AG39:AH39"/>
    <mergeCell ref="B45:C45"/>
    <mergeCell ref="D45:E45"/>
    <mergeCell ref="W43:X43"/>
    <mergeCell ref="W44:X44"/>
    <mergeCell ref="B42:C42"/>
    <mergeCell ref="D42:E42"/>
    <mergeCell ref="B43:C43"/>
    <mergeCell ref="D43:E43"/>
    <mergeCell ref="D44:E44"/>
    <mergeCell ref="J42:L42"/>
    <mergeCell ref="AC45:AD45"/>
    <mergeCell ref="AG41:AH41"/>
    <mergeCell ref="W42:X42"/>
    <mergeCell ref="B40:C40"/>
    <mergeCell ref="J43:P43"/>
    <mergeCell ref="K40:L40"/>
    <mergeCell ref="AG31:AH31"/>
    <mergeCell ref="A36:D36"/>
    <mergeCell ref="E36:F36"/>
    <mergeCell ref="J36:P36"/>
    <mergeCell ref="R36:R42"/>
    <mergeCell ref="J37:J41"/>
    <mergeCell ref="D39:E39"/>
    <mergeCell ref="K41:L41"/>
    <mergeCell ref="B39:C39"/>
    <mergeCell ref="B41:C41"/>
    <mergeCell ref="A38:A45"/>
    <mergeCell ref="W40:X40"/>
    <mergeCell ref="AG40:AH40"/>
    <mergeCell ref="AB37:AB42"/>
    <mergeCell ref="K39:L39"/>
    <mergeCell ref="W39:X39"/>
    <mergeCell ref="D41:E41"/>
    <mergeCell ref="AG42:AH42"/>
    <mergeCell ref="M42:N42"/>
    <mergeCell ref="T37:U42"/>
    <mergeCell ref="W41:X41"/>
    <mergeCell ref="AG37:AH37"/>
    <mergeCell ref="AG38:AH38"/>
    <mergeCell ref="B38:C38"/>
    <mergeCell ref="AG26:AH26"/>
    <mergeCell ref="AG34:AH34"/>
    <mergeCell ref="Y33:Z33"/>
    <mergeCell ref="Y24:Z24"/>
    <mergeCell ref="K37:L37"/>
    <mergeCell ref="W37:X37"/>
    <mergeCell ref="T36:U36"/>
    <mergeCell ref="M35:N35"/>
    <mergeCell ref="M27:N27"/>
    <mergeCell ref="Y27:Z27"/>
    <mergeCell ref="J35:L35"/>
    <mergeCell ref="AB20:AB26"/>
    <mergeCell ref="W36:X36"/>
    <mergeCell ref="AG32:AH32"/>
    <mergeCell ref="AB29:AB34"/>
    <mergeCell ref="AG29:AH29"/>
    <mergeCell ref="Y30:Z30"/>
    <mergeCell ref="AG30:AH30"/>
    <mergeCell ref="AG33:AH33"/>
    <mergeCell ref="AG20:AH20"/>
    <mergeCell ref="AG21:AH21"/>
    <mergeCell ref="AG23:AH23"/>
    <mergeCell ref="AG22:AH22"/>
    <mergeCell ref="AG24:AH24"/>
    <mergeCell ref="A1:P1"/>
    <mergeCell ref="A2:P2"/>
    <mergeCell ref="AB14:AB17"/>
    <mergeCell ref="AG14:AH14"/>
    <mergeCell ref="Y16:Z16"/>
    <mergeCell ref="AG16:AH16"/>
    <mergeCell ref="AG17:AH17"/>
    <mergeCell ref="AG9:AH9"/>
    <mergeCell ref="Y10:Z10"/>
    <mergeCell ref="AG10:AH10"/>
    <mergeCell ref="Y7:Z7"/>
    <mergeCell ref="AG5:AH5"/>
    <mergeCell ref="Y6:Z6"/>
    <mergeCell ref="AG8:AH8"/>
    <mergeCell ref="AG6:AH6"/>
    <mergeCell ref="AG7:AH7"/>
    <mergeCell ref="Y8:Z8"/>
    <mergeCell ref="AB5:AB10"/>
    <mergeCell ref="Y5:Z5"/>
    <mergeCell ref="J12:L12"/>
    <mergeCell ref="R5:R16"/>
    <mergeCell ref="Y11:Z11"/>
    <mergeCell ref="Y9:Z9"/>
    <mergeCell ref="AG15:AH15"/>
    <mergeCell ref="Y13:Z13"/>
    <mergeCell ref="Y12:Z12"/>
    <mergeCell ref="Y15:Z15"/>
    <mergeCell ref="Y14:Z14"/>
    <mergeCell ref="J57:K57"/>
    <mergeCell ref="L56:N56"/>
    <mergeCell ref="J55:K55"/>
    <mergeCell ref="Y25:Z25"/>
    <mergeCell ref="J18:L18"/>
    <mergeCell ref="Y31:Z31"/>
    <mergeCell ref="M18:N18"/>
    <mergeCell ref="Y20:Z20"/>
    <mergeCell ref="J30:J34"/>
    <mergeCell ref="Y26:Z26"/>
    <mergeCell ref="J21:J26"/>
    <mergeCell ref="Y21:Z21"/>
    <mergeCell ref="Y23:Z23"/>
    <mergeCell ref="L57:N57"/>
    <mergeCell ref="AG25:AH25"/>
    <mergeCell ref="B57:C57"/>
    <mergeCell ref="B58:C58"/>
    <mergeCell ref="E58:F58"/>
    <mergeCell ref="E57:F57"/>
    <mergeCell ref="A3:P3"/>
    <mergeCell ref="A4:P4"/>
    <mergeCell ref="A19:D19"/>
    <mergeCell ref="E19:F19"/>
    <mergeCell ref="J19:P19"/>
    <mergeCell ref="A6:A18"/>
    <mergeCell ref="A20:H20"/>
    <mergeCell ref="A37:H37"/>
    <mergeCell ref="D40:E40"/>
    <mergeCell ref="A54:H54"/>
    <mergeCell ref="B48:C48"/>
    <mergeCell ref="A48:A52"/>
    <mergeCell ref="B51:C51"/>
    <mergeCell ref="B52:C52"/>
    <mergeCell ref="A53:D53"/>
    <mergeCell ref="D51:E51"/>
    <mergeCell ref="D52:E52"/>
    <mergeCell ref="D49:E49"/>
    <mergeCell ref="D50:E50"/>
    <mergeCell ref="A55:A58"/>
    <mergeCell ref="J58:K58"/>
    <mergeCell ref="J59:K59"/>
    <mergeCell ref="L55:N55"/>
    <mergeCell ref="J56:K56"/>
    <mergeCell ref="J53:L53"/>
    <mergeCell ref="J54:P54"/>
    <mergeCell ref="O55:P55"/>
    <mergeCell ref="M53:N53"/>
    <mergeCell ref="A59:D59"/>
    <mergeCell ref="J6:J11"/>
    <mergeCell ref="J13:P13"/>
    <mergeCell ref="J14:J17"/>
    <mergeCell ref="M12:N12"/>
    <mergeCell ref="L59:N59"/>
    <mergeCell ref="O57:P57"/>
    <mergeCell ref="O59:P59"/>
    <mergeCell ref="K49:L49"/>
    <mergeCell ref="K50:L50"/>
    <mergeCell ref="O56:P56"/>
  </mergeCells>
  <phoneticPr fontId="9" type="noConversion"/>
  <pageMargins left="0.39370078740157483" right="0.39370078740157483" top="0.39370078740157483" bottom="0.78740157480314965" header="0" footer="0"/>
  <pageSetup orientation="portrait" horizontalDpi="4294967294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O12"/>
  <sheetViews>
    <sheetView workbookViewId="0">
      <selection activeCell="C10" sqref="C10"/>
    </sheetView>
  </sheetViews>
  <sheetFormatPr baseColWidth="10" defaultRowHeight="12.75" x14ac:dyDescent="0.2"/>
  <sheetData>
    <row r="1" spans="1:15" x14ac:dyDescent="0.2">
      <c r="A1" s="356"/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8"/>
    </row>
    <row r="2" spans="1:15" x14ac:dyDescent="0.2">
      <c r="A2" s="359" t="s">
        <v>90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1"/>
    </row>
    <row r="3" spans="1:15" x14ac:dyDescent="0.2">
      <c r="A3" s="362" t="s">
        <v>208</v>
      </c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4"/>
    </row>
    <row r="4" spans="1:15" x14ac:dyDescent="0.2">
      <c r="A4" s="25"/>
      <c r="B4" s="8"/>
      <c r="C4" s="26"/>
      <c r="D4" s="8"/>
      <c r="E4" s="8"/>
      <c r="F4" s="8"/>
      <c r="G4" s="8"/>
      <c r="H4" s="8"/>
      <c r="I4" s="8"/>
      <c r="J4" s="8"/>
      <c r="K4" s="8"/>
      <c r="L4" s="27"/>
    </row>
    <row r="5" spans="1:15" x14ac:dyDescent="0.2">
      <c r="A5" s="28"/>
      <c r="B5" s="18"/>
      <c r="C5" s="18"/>
      <c r="D5" s="24"/>
      <c r="E5" s="20"/>
      <c r="F5" s="8"/>
      <c r="G5" s="8"/>
      <c r="H5" s="8"/>
      <c r="I5" s="8"/>
      <c r="J5" s="8"/>
      <c r="K5" s="8"/>
      <c r="L5" s="27"/>
    </row>
    <row r="6" spans="1:15" x14ac:dyDescent="0.2">
      <c r="A6" s="39" t="s">
        <v>91</v>
      </c>
      <c r="B6" s="40" t="s">
        <v>92</v>
      </c>
      <c r="C6" s="40" t="s">
        <v>93</v>
      </c>
      <c r="D6" s="40" t="s">
        <v>94</v>
      </c>
      <c r="E6" s="40" t="s">
        <v>95</v>
      </c>
      <c r="F6" s="40" t="s">
        <v>96</v>
      </c>
      <c r="G6" s="40" t="s">
        <v>97</v>
      </c>
      <c r="H6" s="40" t="s">
        <v>98</v>
      </c>
      <c r="I6" s="40" t="s">
        <v>99</v>
      </c>
      <c r="J6" s="40" t="s">
        <v>110</v>
      </c>
      <c r="K6" s="40" t="s">
        <v>100</v>
      </c>
      <c r="L6" s="41" t="s">
        <v>101</v>
      </c>
      <c r="O6" s="80"/>
    </row>
    <row r="7" spans="1:15" x14ac:dyDescent="0.2">
      <c r="A7" s="29">
        <v>0</v>
      </c>
      <c r="B7" s="55">
        <v>0</v>
      </c>
      <c r="C7" s="17">
        <v>0</v>
      </c>
      <c r="D7" s="17">
        <v>0</v>
      </c>
      <c r="E7" s="17">
        <v>1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/>
      <c r="L7" s="30"/>
    </row>
    <row r="8" spans="1:15" x14ac:dyDescent="0.2">
      <c r="A8" s="42">
        <f>A7*A11</f>
        <v>0</v>
      </c>
      <c r="B8" s="42">
        <f>B7*B11</f>
        <v>0</v>
      </c>
      <c r="C8" s="42">
        <f>C7*C11</f>
        <v>0</v>
      </c>
      <c r="D8" s="42">
        <f>D7*D11</f>
        <v>0</v>
      </c>
      <c r="E8" s="42">
        <f>E7*E11</f>
        <v>2963.6363636363635</v>
      </c>
      <c r="F8" s="42">
        <f>F7</f>
        <v>0</v>
      </c>
      <c r="G8" s="42">
        <f>G7*G11</f>
        <v>0</v>
      </c>
      <c r="H8" s="42">
        <f>H7*H11</f>
        <v>0</v>
      </c>
      <c r="I8" s="42">
        <f>I7</f>
        <v>0</v>
      </c>
      <c r="J8" s="42">
        <f>J7</f>
        <v>0</v>
      </c>
      <c r="K8" s="42">
        <f>SUM(A8:J8)</f>
        <v>2963.6363636363635</v>
      </c>
      <c r="L8" s="43">
        <f>K8*K11</f>
        <v>6520</v>
      </c>
    </row>
    <row r="9" spans="1:15" x14ac:dyDescent="0.2">
      <c r="A9" s="31"/>
      <c r="B9" s="18"/>
      <c r="C9" s="18"/>
      <c r="D9" s="24"/>
      <c r="E9" s="20"/>
      <c r="F9" s="8"/>
      <c r="G9" s="8"/>
      <c r="H9" s="8"/>
      <c r="I9" s="8"/>
      <c r="J9" s="8"/>
      <c r="K9" s="8"/>
      <c r="L9" s="27"/>
    </row>
    <row r="10" spans="1:15" x14ac:dyDescent="0.2">
      <c r="A10" s="99" t="s">
        <v>102</v>
      </c>
      <c r="B10" s="32">
        <v>8000</v>
      </c>
      <c r="C10" s="44" t="s">
        <v>126</v>
      </c>
      <c r="D10" s="92">
        <v>150</v>
      </c>
      <c r="E10" s="45"/>
      <c r="F10" s="46"/>
      <c r="G10" s="46"/>
      <c r="H10" s="46"/>
      <c r="I10" s="46"/>
      <c r="J10" s="46"/>
      <c r="K10" s="40" t="s">
        <v>77</v>
      </c>
      <c r="L10" s="47"/>
    </row>
    <row r="11" spans="1:15" x14ac:dyDescent="0.2">
      <c r="A11" s="100">
        <f>(B10+D10)/17.46</f>
        <v>466.78121420389459</v>
      </c>
      <c r="B11" s="100">
        <f>(B10+D10)/9.25</f>
        <v>881.08108108108104</v>
      </c>
      <c r="C11" s="100">
        <f>(B10+D10)/6.1</f>
        <v>1336.0655737704919</v>
      </c>
      <c r="D11" s="100">
        <f>(B10+D10)/4.44</f>
        <v>1835.5855855855855</v>
      </c>
      <c r="E11" s="100">
        <f>(B10+D10)/2.75</f>
        <v>2963.6363636363635</v>
      </c>
      <c r="F11" s="18"/>
      <c r="G11" s="18">
        <v>50</v>
      </c>
      <c r="H11" s="18">
        <v>50</v>
      </c>
      <c r="I11" s="44"/>
      <c r="J11" s="44"/>
      <c r="K11" s="17">
        <v>2.2000000000000002</v>
      </c>
      <c r="L11" s="47"/>
    </row>
    <row r="12" spans="1:15" ht="13.5" thickBot="1" x14ac:dyDescent="0.25">
      <c r="A12" s="33"/>
      <c r="B12" s="34"/>
      <c r="C12" s="34"/>
      <c r="D12" s="35"/>
      <c r="E12" s="36"/>
      <c r="F12" s="37"/>
      <c r="G12" s="37"/>
      <c r="H12" s="37"/>
      <c r="I12" s="37"/>
      <c r="J12" s="37"/>
      <c r="K12" s="37"/>
      <c r="L12" s="38"/>
    </row>
  </sheetData>
  <mergeCells count="3">
    <mergeCell ref="A1:L1"/>
    <mergeCell ref="A2:L2"/>
    <mergeCell ref="A3:L3"/>
  </mergeCells>
  <phoneticPr fontId="9" type="noConversion"/>
  <pageMargins left="0.75" right="0.75" top="1" bottom="1" header="0" footer="0"/>
  <pageSetup orientation="portrait" horizontalDpi="4294967293" verticalDpi="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K59"/>
  <sheetViews>
    <sheetView workbookViewId="0">
      <selection activeCell="A17" sqref="A17:J17"/>
    </sheetView>
  </sheetViews>
  <sheetFormatPr baseColWidth="10" defaultRowHeight="12.75" x14ac:dyDescent="0.2"/>
  <cols>
    <col min="1" max="3" width="7.42578125" customWidth="1"/>
    <col min="5" max="5" width="6.5703125" customWidth="1"/>
    <col min="6" max="6" width="10.5703125" customWidth="1"/>
    <col min="8" max="9" width="11.5703125" customWidth="1"/>
    <col min="10" max="10" width="14.85546875" bestFit="1" customWidth="1"/>
    <col min="11" max="11" width="14" customWidth="1"/>
  </cols>
  <sheetData>
    <row r="1" spans="1:10" x14ac:dyDescent="0.2">
      <c r="A1" s="375" t="s">
        <v>226</v>
      </c>
      <c r="B1" s="242"/>
      <c r="C1" s="242"/>
      <c r="D1" s="242"/>
      <c r="E1" s="242"/>
      <c r="F1" s="242"/>
      <c r="G1" s="242"/>
      <c r="H1" s="242"/>
      <c r="I1" s="242"/>
      <c r="J1" s="242"/>
    </row>
    <row r="2" spans="1:10" ht="13.5" thickBot="1" x14ac:dyDescent="0.25"/>
    <row r="3" spans="1:10" x14ac:dyDescent="0.2">
      <c r="A3" s="365" t="s">
        <v>133</v>
      </c>
      <c r="B3" s="366"/>
      <c r="C3" s="366"/>
      <c r="D3" s="366"/>
      <c r="E3" s="366"/>
      <c r="F3" s="366"/>
      <c r="G3" s="366"/>
      <c r="H3" s="366"/>
      <c r="I3" s="367"/>
      <c r="J3" s="368"/>
    </row>
    <row r="4" spans="1:10" x14ac:dyDescent="0.2">
      <c r="A4" s="362" t="s">
        <v>134</v>
      </c>
      <c r="B4" s="369"/>
      <c r="C4" s="370" t="s">
        <v>79</v>
      </c>
      <c r="D4" s="370" t="s">
        <v>82</v>
      </c>
      <c r="E4" s="372" t="s">
        <v>89</v>
      </c>
      <c r="F4" s="370" t="s">
        <v>81</v>
      </c>
      <c r="G4" s="370" t="s">
        <v>83</v>
      </c>
      <c r="H4" s="372" t="s">
        <v>87</v>
      </c>
      <c r="I4" s="372" t="s">
        <v>88</v>
      </c>
      <c r="J4" s="374" t="s">
        <v>84</v>
      </c>
    </row>
    <row r="5" spans="1:10" x14ac:dyDescent="0.2">
      <c r="A5" s="102" t="s">
        <v>80</v>
      </c>
      <c r="B5" s="20" t="s">
        <v>85</v>
      </c>
      <c r="C5" s="370"/>
      <c r="D5" s="370"/>
      <c r="E5" s="373"/>
      <c r="F5" s="370"/>
      <c r="G5" s="370"/>
      <c r="H5" s="373"/>
      <c r="I5" s="373"/>
      <c r="J5" s="374"/>
    </row>
    <row r="6" spans="1:10" ht="13.5" thickBot="1" x14ac:dyDescent="0.25">
      <c r="A6" s="21">
        <v>0</v>
      </c>
      <c r="B6" s="22">
        <v>0</v>
      </c>
      <c r="C6" s="23">
        <f>B6*A6</f>
        <v>0</v>
      </c>
      <c r="D6" s="22">
        <v>60</v>
      </c>
      <c r="E6" s="22">
        <v>1</v>
      </c>
      <c r="F6" s="103">
        <v>2.7</v>
      </c>
      <c r="G6" s="50">
        <v>16500</v>
      </c>
      <c r="H6" s="49">
        <f>C6*D6*F6/100</f>
        <v>0</v>
      </c>
      <c r="I6" s="49">
        <f>H6*E6</f>
        <v>0</v>
      </c>
      <c r="J6" s="96">
        <f>C6*D6*F6*G6/100</f>
        <v>0</v>
      </c>
    </row>
    <row r="7" spans="1:10" ht="13.5" thickBot="1" x14ac:dyDescent="0.25"/>
    <row r="8" spans="1:10" x14ac:dyDescent="0.2">
      <c r="A8" s="365" t="s">
        <v>131</v>
      </c>
      <c r="B8" s="366"/>
      <c r="C8" s="366"/>
      <c r="D8" s="366"/>
      <c r="E8" s="366"/>
      <c r="F8" s="366"/>
      <c r="G8" s="366"/>
      <c r="H8" s="366"/>
      <c r="I8" s="367"/>
      <c r="J8" s="368"/>
    </row>
    <row r="9" spans="1:10" x14ac:dyDescent="0.2">
      <c r="A9" s="362" t="s">
        <v>134</v>
      </c>
      <c r="B9" s="369"/>
      <c r="C9" s="370" t="s">
        <v>79</v>
      </c>
      <c r="D9" s="370" t="s">
        <v>82</v>
      </c>
      <c r="E9" s="372" t="s">
        <v>89</v>
      </c>
      <c r="F9" s="370" t="s">
        <v>81</v>
      </c>
      <c r="G9" s="370" t="s">
        <v>83</v>
      </c>
      <c r="H9" s="372" t="s">
        <v>87</v>
      </c>
      <c r="I9" s="372" t="s">
        <v>88</v>
      </c>
      <c r="J9" s="374" t="s">
        <v>84</v>
      </c>
    </row>
    <row r="10" spans="1:10" x14ac:dyDescent="0.2">
      <c r="A10" s="102" t="s">
        <v>80</v>
      </c>
      <c r="B10" s="20" t="s">
        <v>85</v>
      </c>
      <c r="C10" s="370"/>
      <c r="D10" s="370"/>
      <c r="E10" s="373"/>
      <c r="F10" s="370"/>
      <c r="G10" s="370"/>
      <c r="H10" s="373"/>
      <c r="I10" s="373"/>
      <c r="J10" s="374"/>
    </row>
    <row r="11" spans="1:10" ht="13.5" thickBot="1" x14ac:dyDescent="0.25">
      <c r="A11" s="21">
        <v>0</v>
      </c>
      <c r="B11" s="22">
        <v>0</v>
      </c>
      <c r="C11" s="23">
        <f>B11*A11</f>
        <v>0</v>
      </c>
      <c r="D11" s="22">
        <v>60</v>
      </c>
      <c r="E11" s="22">
        <v>1</v>
      </c>
      <c r="F11" s="103">
        <v>2.7</v>
      </c>
      <c r="G11" s="50">
        <v>16500</v>
      </c>
      <c r="H11" s="49">
        <f>C11*D11*F11/100</f>
        <v>0</v>
      </c>
      <c r="I11" s="49">
        <f>H11*E11</f>
        <v>0</v>
      </c>
      <c r="J11" s="96">
        <f>C11*D11*F11*G11/100</f>
        <v>0</v>
      </c>
    </row>
    <row r="12" spans="1:10" ht="13.5" thickBot="1" x14ac:dyDescent="0.25">
      <c r="F12" s="104"/>
      <c r="G12" s="61"/>
      <c r="H12" s="62"/>
      <c r="I12" s="62"/>
      <c r="J12" s="139"/>
    </row>
    <row r="13" spans="1:10" x14ac:dyDescent="0.2">
      <c r="A13" s="365" t="s">
        <v>203</v>
      </c>
      <c r="B13" s="366"/>
      <c r="C13" s="366"/>
      <c r="D13" s="366"/>
      <c r="E13" s="366"/>
      <c r="F13" s="366"/>
      <c r="G13" s="366"/>
      <c r="H13" s="366"/>
      <c r="I13" s="367"/>
      <c r="J13" s="368"/>
    </row>
    <row r="14" spans="1:10" x14ac:dyDescent="0.2">
      <c r="A14" s="362" t="s">
        <v>134</v>
      </c>
      <c r="B14" s="369"/>
      <c r="C14" s="370" t="s">
        <v>79</v>
      </c>
      <c r="D14" s="371" t="s">
        <v>204</v>
      </c>
      <c r="E14" s="372" t="s">
        <v>89</v>
      </c>
      <c r="F14" s="371" t="s">
        <v>205</v>
      </c>
      <c r="G14" s="370" t="s">
        <v>83</v>
      </c>
      <c r="H14" s="372" t="s">
        <v>87</v>
      </c>
      <c r="I14" s="372" t="s">
        <v>88</v>
      </c>
      <c r="J14" s="374" t="s">
        <v>84</v>
      </c>
    </row>
    <row r="15" spans="1:10" x14ac:dyDescent="0.2">
      <c r="A15" s="102" t="s">
        <v>80</v>
      </c>
      <c r="B15" s="20" t="s">
        <v>85</v>
      </c>
      <c r="C15" s="370"/>
      <c r="D15" s="370"/>
      <c r="E15" s="373"/>
      <c r="F15" s="370"/>
      <c r="G15" s="370"/>
      <c r="H15" s="373"/>
      <c r="I15" s="373"/>
      <c r="J15" s="374"/>
    </row>
    <row r="16" spans="1:10" ht="13.5" thickBot="1" x14ac:dyDescent="0.25">
      <c r="A16" s="140">
        <v>1.2</v>
      </c>
      <c r="B16" s="111">
        <v>2.4</v>
      </c>
      <c r="C16" s="23">
        <f>B16*A16</f>
        <v>2.88</v>
      </c>
      <c r="D16" s="22">
        <v>5</v>
      </c>
      <c r="E16" s="22">
        <v>1</v>
      </c>
      <c r="F16" s="103">
        <v>1500</v>
      </c>
      <c r="G16" s="50">
        <v>17000</v>
      </c>
      <c r="H16" s="49">
        <f>C16*F16/1000</f>
        <v>4.32</v>
      </c>
      <c r="I16" s="49">
        <f>H16*E16</f>
        <v>4.32</v>
      </c>
      <c r="J16" s="96">
        <f>H16*G16</f>
        <v>73440</v>
      </c>
    </row>
    <row r="17" spans="1:10" x14ac:dyDescent="0.2">
      <c r="A17" s="365" t="s">
        <v>111</v>
      </c>
      <c r="B17" s="366"/>
      <c r="C17" s="366"/>
      <c r="D17" s="366"/>
      <c r="E17" s="366"/>
      <c r="F17" s="366"/>
      <c r="G17" s="366"/>
      <c r="H17" s="366"/>
      <c r="I17" s="367"/>
      <c r="J17" s="368"/>
    </row>
    <row r="18" spans="1:10" ht="12.75" customHeight="1" x14ac:dyDescent="0.2">
      <c r="A18" s="362" t="s">
        <v>134</v>
      </c>
      <c r="B18" s="369"/>
      <c r="C18" s="370" t="s">
        <v>79</v>
      </c>
      <c r="D18" s="370" t="s">
        <v>82</v>
      </c>
      <c r="E18" s="372" t="s">
        <v>89</v>
      </c>
      <c r="F18" s="370" t="s">
        <v>81</v>
      </c>
      <c r="G18" s="370" t="s">
        <v>83</v>
      </c>
      <c r="H18" s="372" t="s">
        <v>87</v>
      </c>
      <c r="I18" s="372" t="s">
        <v>88</v>
      </c>
      <c r="J18" s="374" t="s">
        <v>84</v>
      </c>
    </row>
    <row r="19" spans="1:10" x14ac:dyDescent="0.2">
      <c r="A19" s="102" t="s">
        <v>80</v>
      </c>
      <c r="B19" s="20" t="s">
        <v>85</v>
      </c>
      <c r="C19" s="370"/>
      <c r="D19" s="370"/>
      <c r="E19" s="373"/>
      <c r="F19" s="370"/>
      <c r="G19" s="370"/>
      <c r="H19" s="373"/>
      <c r="I19" s="373"/>
      <c r="J19" s="374"/>
    </row>
    <row r="20" spans="1:10" ht="13.5" thickBot="1" x14ac:dyDescent="0.25">
      <c r="A20" s="21">
        <v>0</v>
      </c>
      <c r="B20" s="22">
        <v>0</v>
      </c>
      <c r="C20" s="23">
        <f>B20*A20</f>
        <v>0</v>
      </c>
      <c r="D20" s="22">
        <v>100</v>
      </c>
      <c r="E20" s="22">
        <v>1</v>
      </c>
      <c r="F20" s="103">
        <v>2.7</v>
      </c>
      <c r="G20" s="50">
        <v>16000</v>
      </c>
      <c r="H20" s="49">
        <f>C20*D20*F20/100</f>
        <v>0</v>
      </c>
      <c r="I20" s="49">
        <f>H20*E20</f>
        <v>0</v>
      </c>
      <c r="J20" s="96">
        <f>C20*D20*F20*G20/100</f>
        <v>0</v>
      </c>
    </row>
    <row r="21" spans="1:10" ht="13.5" thickBot="1" x14ac:dyDescent="0.25">
      <c r="F21" s="104"/>
      <c r="G21" s="61"/>
      <c r="H21" s="62"/>
      <c r="I21" s="62"/>
      <c r="J21" s="97"/>
    </row>
    <row r="22" spans="1:10" x14ac:dyDescent="0.2">
      <c r="A22" s="365" t="s">
        <v>169</v>
      </c>
      <c r="B22" s="366"/>
      <c r="C22" s="366"/>
      <c r="D22" s="366"/>
      <c r="E22" s="366"/>
      <c r="F22" s="366"/>
      <c r="G22" s="366"/>
      <c r="H22" s="366"/>
      <c r="I22" s="367"/>
      <c r="J22" s="368"/>
    </row>
    <row r="23" spans="1:10" ht="12.75" customHeight="1" x14ac:dyDescent="0.2">
      <c r="A23" s="362" t="s">
        <v>134</v>
      </c>
      <c r="B23" s="369"/>
      <c r="C23" s="370" t="s">
        <v>79</v>
      </c>
      <c r="D23" s="370" t="s">
        <v>82</v>
      </c>
      <c r="E23" s="372" t="s">
        <v>89</v>
      </c>
      <c r="F23" s="370" t="s">
        <v>81</v>
      </c>
      <c r="G23" s="370" t="s">
        <v>83</v>
      </c>
      <c r="H23" s="372" t="s">
        <v>87</v>
      </c>
      <c r="I23" s="372" t="s">
        <v>88</v>
      </c>
      <c r="J23" s="374" t="s">
        <v>84</v>
      </c>
    </row>
    <row r="24" spans="1:10" x14ac:dyDescent="0.2">
      <c r="A24" s="102" t="s">
        <v>80</v>
      </c>
      <c r="B24" s="20" t="s">
        <v>85</v>
      </c>
      <c r="C24" s="370"/>
      <c r="D24" s="370"/>
      <c r="E24" s="373"/>
      <c r="F24" s="370"/>
      <c r="G24" s="370"/>
      <c r="H24" s="373"/>
      <c r="I24" s="373"/>
      <c r="J24" s="374"/>
    </row>
    <row r="25" spans="1:10" ht="13.5" thickBot="1" x14ac:dyDescent="0.25">
      <c r="A25" s="21">
        <v>0</v>
      </c>
      <c r="B25" s="22">
        <v>0</v>
      </c>
      <c r="C25" s="23">
        <f>B25*A25</f>
        <v>0</v>
      </c>
      <c r="D25" s="22">
        <v>100</v>
      </c>
      <c r="E25" s="22">
        <v>1</v>
      </c>
      <c r="F25" s="103">
        <v>2.7</v>
      </c>
      <c r="G25" s="50">
        <v>15500</v>
      </c>
      <c r="H25" s="49">
        <f>C25*D25*F25/100</f>
        <v>0</v>
      </c>
      <c r="I25" s="49">
        <f>H25*E25</f>
        <v>0</v>
      </c>
      <c r="J25" s="96">
        <f>C25*D25*F25*G25/100</f>
        <v>0</v>
      </c>
    </row>
    <row r="26" spans="1:10" ht="13.5" thickBot="1" x14ac:dyDescent="0.25">
      <c r="A26" s="51"/>
      <c r="B26" s="51"/>
      <c r="C26" s="51"/>
      <c r="D26" s="51"/>
      <c r="E26" s="51"/>
      <c r="F26" s="105"/>
      <c r="G26" s="52"/>
      <c r="H26" s="53"/>
      <c r="I26" s="53"/>
      <c r="J26" s="98"/>
    </row>
    <row r="27" spans="1:10" x14ac:dyDescent="0.2">
      <c r="A27" s="383" t="s">
        <v>86</v>
      </c>
      <c r="B27" s="384"/>
      <c r="C27" s="384"/>
      <c r="D27" s="384"/>
      <c r="E27" s="384"/>
      <c r="F27" s="384"/>
      <c r="G27" s="384"/>
      <c r="H27" s="384"/>
      <c r="I27" s="384"/>
      <c r="J27" s="385"/>
    </row>
    <row r="28" spans="1:10" x14ac:dyDescent="0.2">
      <c r="A28" s="362" t="s">
        <v>134</v>
      </c>
      <c r="B28" s="369"/>
      <c r="C28" s="386" t="s">
        <v>79</v>
      </c>
      <c r="D28" s="386" t="s">
        <v>82</v>
      </c>
      <c r="E28" s="372" t="s">
        <v>89</v>
      </c>
      <c r="F28" s="386" t="s">
        <v>81</v>
      </c>
      <c r="G28" s="386" t="s">
        <v>83</v>
      </c>
      <c r="H28" s="372" t="s">
        <v>87</v>
      </c>
      <c r="I28" s="372" t="s">
        <v>88</v>
      </c>
      <c r="J28" s="388" t="s">
        <v>84</v>
      </c>
    </row>
    <row r="29" spans="1:10" x14ac:dyDescent="0.2">
      <c r="A29" s="102" t="s">
        <v>80</v>
      </c>
      <c r="B29" s="20" t="s">
        <v>85</v>
      </c>
      <c r="C29" s="387"/>
      <c r="D29" s="387"/>
      <c r="E29" s="373"/>
      <c r="F29" s="387"/>
      <c r="G29" s="387"/>
      <c r="H29" s="373"/>
      <c r="I29" s="373"/>
      <c r="J29" s="389"/>
    </row>
    <row r="30" spans="1:10" ht="13.5" thickBot="1" x14ac:dyDescent="0.25">
      <c r="A30" s="21">
        <v>1</v>
      </c>
      <c r="B30" s="22">
        <v>2</v>
      </c>
      <c r="C30" s="23">
        <f>B30*A30</f>
        <v>2</v>
      </c>
      <c r="D30" s="22">
        <v>20</v>
      </c>
      <c r="E30" s="22">
        <v>1</v>
      </c>
      <c r="F30" s="103">
        <v>2.42</v>
      </c>
      <c r="G30" s="50">
        <v>12800</v>
      </c>
      <c r="H30" s="49">
        <f>C30*D30*F30/100</f>
        <v>0.96799999999999997</v>
      </c>
      <c r="I30" s="49">
        <f>H30*E30</f>
        <v>0.96799999999999997</v>
      </c>
      <c r="J30" s="96">
        <f>C30*D30*F30*G30/100</f>
        <v>12390.4</v>
      </c>
    </row>
    <row r="31" spans="1:10" ht="13.5" thickBot="1" x14ac:dyDescent="0.25"/>
    <row r="32" spans="1:10" x14ac:dyDescent="0.2">
      <c r="A32" s="365" t="s">
        <v>125</v>
      </c>
      <c r="B32" s="366"/>
      <c r="C32" s="366"/>
      <c r="D32" s="366"/>
      <c r="E32" s="366"/>
      <c r="F32" s="366"/>
      <c r="G32" s="366"/>
      <c r="H32" s="366"/>
      <c r="I32" s="367"/>
      <c r="J32" s="368"/>
    </row>
    <row r="33" spans="1:10" ht="12.75" customHeight="1" x14ac:dyDescent="0.2">
      <c r="A33" s="362" t="s">
        <v>134</v>
      </c>
      <c r="B33" s="369"/>
      <c r="C33" s="370" t="s">
        <v>79</v>
      </c>
      <c r="D33" s="370" t="s">
        <v>82</v>
      </c>
      <c r="E33" s="372" t="s">
        <v>89</v>
      </c>
      <c r="F33" s="370" t="s">
        <v>81</v>
      </c>
      <c r="G33" s="370" t="s">
        <v>83</v>
      </c>
      <c r="H33" s="372" t="s">
        <v>87</v>
      </c>
      <c r="I33" s="372" t="s">
        <v>88</v>
      </c>
      <c r="J33" s="374" t="s">
        <v>84</v>
      </c>
    </row>
    <row r="34" spans="1:10" x14ac:dyDescent="0.2">
      <c r="A34" s="102" t="s">
        <v>80</v>
      </c>
      <c r="B34" s="20" t="s">
        <v>85</v>
      </c>
      <c r="C34" s="370"/>
      <c r="D34" s="370"/>
      <c r="E34" s="373"/>
      <c r="F34" s="370"/>
      <c r="G34" s="370"/>
      <c r="H34" s="373"/>
      <c r="I34" s="373"/>
      <c r="J34" s="374"/>
    </row>
    <row r="35" spans="1:10" ht="13.5" thickBot="1" x14ac:dyDescent="0.25">
      <c r="A35" s="21">
        <v>0</v>
      </c>
      <c r="B35" s="22">
        <v>0</v>
      </c>
      <c r="C35" s="23">
        <f>B35*A35</f>
        <v>0</v>
      </c>
      <c r="D35" s="22">
        <v>15</v>
      </c>
      <c r="E35" s="22">
        <v>1</v>
      </c>
      <c r="F35" s="103">
        <v>3.4</v>
      </c>
      <c r="G35" s="50">
        <v>800</v>
      </c>
      <c r="H35" s="49">
        <f>C35*D35*F35/100</f>
        <v>0</v>
      </c>
      <c r="I35" s="49">
        <f>H35*E35</f>
        <v>0</v>
      </c>
      <c r="J35" s="96">
        <f>C35*D35*F35*G35/100</f>
        <v>0</v>
      </c>
    </row>
    <row r="36" spans="1:10" ht="13.5" thickBot="1" x14ac:dyDescent="0.25"/>
    <row r="37" spans="1:10" x14ac:dyDescent="0.2">
      <c r="A37" s="365" t="s">
        <v>128</v>
      </c>
      <c r="B37" s="366"/>
      <c r="C37" s="366"/>
      <c r="D37" s="366"/>
      <c r="E37" s="366"/>
      <c r="F37" s="366"/>
      <c r="G37" s="366"/>
      <c r="H37" s="366"/>
      <c r="I37" s="367"/>
      <c r="J37" s="368"/>
    </row>
    <row r="38" spans="1:10" ht="12.75" customHeight="1" x14ac:dyDescent="0.2">
      <c r="A38" s="362" t="s">
        <v>134</v>
      </c>
      <c r="B38" s="369"/>
      <c r="C38" s="370" t="s">
        <v>79</v>
      </c>
      <c r="D38" s="370" t="s">
        <v>82</v>
      </c>
      <c r="E38" s="372" t="s">
        <v>89</v>
      </c>
      <c r="F38" s="370" t="s">
        <v>81</v>
      </c>
      <c r="G38" s="370" t="s">
        <v>83</v>
      </c>
      <c r="H38" s="372" t="s">
        <v>87</v>
      </c>
      <c r="I38" s="372" t="s">
        <v>88</v>
      </c>
      <c r="J38" s="374" t="s">
        <v>84</v>
      </c>
    </row>
    <row r="39" spans="1:10" x14ac:dyDescent="0.2">
      <c r="A39" s="102" t="s">
        <v>80</v>
      </c>
      <c r="B39" s="20" t="s">
        <v>85</v>
      </c>
      <c r="C39" s="370"/>
      <c r="D39" s="370"/>
      <c r="E39" s="373"/>
      <c r="F39" s="370"/>
      <c r="G39" s="370"/>
      <c r="H39" s="373"/>
      <c r="I39" s="373"/>
      <c r="J39" s="374"/>
    </row>
    <row r="40" spans="1:10" ht="13.5" thickBot="1" x14ac:dyDescent="0.25">
      <c r="A40" s="21">
        <v>0</v>
      </c>
      <c r="B40" s="22">
        <v>0</v>
      </c>
      <c r="C40" s="23">
        <f>B40*A40</f>
        <v>0</v>
      </c>
      <c r="D40" s="22">
        <v>15</v>
      </c>
      <c r="E40" s="22">
        <v>1</v>
      </c>
      <c r="F40" s="103">
        <v>3.48</v>
      </c>
      <c r="G40" s="50">
        <v>12400</v>
      </c>
      <c r="H40" s="49">
        <f>C40*D40*F40/100</f>
        <v>0</v>
      </c>
      <c r="I40" s="49">
        <f>H40*E40</f>
        <v>0</v>
      </c>
      <c r="J40" s="96">
        <f>C40*D40*F40*G40/100</f>
        <v>0</v>
      </c>
    </row>
    <row r="41" spans="1:10" ht="13.5" thickBot="1" x14ac:dyDescent="0.25"/>
    <row r="42" spans="1:10" x14ac:dyDescent="0.2">
      <c r="A42" s="365" t="s">
        <v>132</v>
      </c>
      <c r="B42" s="366"/>
      <c r="C42" s="366"/>
      <c r="D42" s="366"/>
      <c r="E42" s="366"/>
      <c r="F42" s="366"/>
      <c r="G42" s="366"/>
      <c r="H42" s="366"/>
      <c r="I42" s="367"/>
      <c r="J42" s="368"/>
    </row>
    <row r="43" spans="1:10" x14ac:dyDescent="0.2">
      <c r="A43" s="362" t="s">
        <v>134</v>
      </c>
      <c r="B43" s="369"/>
      <c r="C43" s="370" t="s">
        <v>79</v>
      </c>
      <c r="D43" s="370" t="s">
        <v>82</v>
      </c>
      <c r="E43" s="372" t="s">
        <v>89</v>
      </c>
      <c r="F43" s="370" t="s">
        <v>81</v>
      </c>
      <c r="G43" s="370" t="s">
        <v>83</v>
      </c>
      <c r="H43" s="372" t="s">
        <v>87</v>
      </c>
      <c r="I43" s="372" t="s">
        <v>88</v>
      </c>
      <c r="J43" s="374" t="s">
        <v>84</v>
      </c>
    </row>
    <row r="44" spans="1:10" x14ac:dyDescent="0.2">
      <c r="A44" s="102" t="s">
        <v>80</v>
      </c>
      <c r="B44" s="20" t="s">
        <v>85</v>
      </c>
      <c r="C44" s="370"/>
      <c r="D44" s="370"/>
      <c r="E44" s="373"/>
      <c r="F44" s="370"/>
      <c r="G44" s="370"/>
      <c r="H44" s="373"/>
      <c r="I44" s="373"/>
      <c r="J44" s="374"/>
    </row>
    <row r="45" spans="1:10" ht="13.5" thickBot="1" x14ac:dyDescent="0.25">
      <c r="A45" s="21">
        <v>0</v>
      </c>
      <c r="B45" s="22">
        <v>0</v>
      </c>
      <c r="C45" s="23">
        <f>B45*A45</f>
        <v>0</v>
      </c>
      <c r="D45" s="22">
        <v>80</v>
      </c>
      <c r="E45" s="22">
        <v>1</v>
      </c>
      <c r="F45" s="103">
        <v>2.54</v>
      </c>
      <c r="G45" s="50">
        <v>9200</v>
      </c>
      <c r="H45" s="49">
        <f>C45*D45*F45/100</f>
        <v>0</v>
      </c>
      <c r="I45" s="49">
        <f>H45*E45</f>
        <v>0</v>
      </c>
      <c r="J45" s="96">
        <f>C45*D45*F45*G45/100</f>
        <v>0</v>
      </c>
    </row>
    <row r="46" spans="1:10" ht="13.5" thickBot="1" x14ac:dyDescent="0.25"/>
    <row r="47" spans="1:10" x14ac:dyDescent="0.2">
      <c r="A47" s="365" t="s">
        <v>150</v>
      </c>
      <c r="B47" s="366"/>
      <c r="C47" s="366"/>
      <c r="D47" s="366"/>
      <c r="E47" s="366"/>
      <c r="F47" s="366"/>
      <c r="G47" s="366"/>
      <c r="H47" s="366"/>
      <c r="I47" s="366"/>
      <c r="J47" s="368"/>
    </row>
    <row r="48" spans="1:10" ht="12.75" customHeight="1" x14ac:dyDescent="0.2">
      <c r="A48" s="362" t="s">
        <v>134</v>
      </c>
      <c r="B48" s="369"/>
      <c r="C48" s="370" t="s">
        <v>79</v>
      </c>
      <c r="D48" s="370" t="s">
        <v>82</v>
      </c>
      <c r="E48" s="378" t="s">
        <v>157</v>
      </c>
      <c r="F48" s="380" t="s">
        <v>135</v>
      </c>
      <c r="G48" s="380" t="s">
        <v>149</v>
      </c>
      <c r="H48" s="378" t="s">
        <v>152</v>
      </c>
      <c r="I48" s="378" t="s">
        <v>36</v>
      </c>
      <c r="J48" s="379"/>
    </row>
    <row r="49" spans="1:11" x14ac:dyDescent="0.2">
      <c r="A49" s="102" t="s">
        <v>80</v>
      </c>
      <c r="B49" s="20" t="s">
        <v>85</v>
      </c>
      <c r="C49" s="370"/>
      <c r="D49" s="370"/>
      <c r="E49" s="380"/>
      <c r="F49" s="370"/>
      <c r="G49" s="380"/>
      <c r="H49" s="380"/>
      <c r="I49" s="380"/>
      <c r="J49" s="379"/>
    </row>
    <row r="50" spans="1:11" ht="13.5" thickBot="1" x14ac:dyDescent="0.25">
      <c r="A50" s="109">
        <v>0</v>
      </c>
      <c r="B50" s="110">
        <v>0</v>
      </c>
      <c r="C50" s="22">
        <f>B50*A50</f>
        <v>0</v>
      </c>
      <c r="D50" s="112">
        <v>100</v>
      </c>
      <c r="E50" s="22">
        <f>D50/400</f>
        <v>0.25</v>
      </c>
      <c r="F50" s="111">
        <v>1.08</v>
      </c>
      <c r="G50" s="113">
        <v>7.2</v>
      </c>
      <c r="H50" s="114">
        <v>0</v>
      </c>
      <c r="I50" s="381">
        <f>((A50*B50*10000)*E50*F50*G50)+H50</f>
        <v>0</v>
      </c>
      <c r="J50" s="382"/>
    </row>
    <row r="51" spans="1:11" ht="13.5" thickBot="1" x14ac:dyDescent="0.25"/>
    <row r="52" spans="1:11" x14ac:dyDescent="0.2">
      <c r="A52" s="365" t="s">
        <v>151</v>
      </c>
      <c r="B52" s="366"/>
      <c r="C52" s="366"/>
      <c r="D52" s="366"/>
      <c r="E52" s="366"/>
      <c r="F52" s="366"/>
      <c r="G52" s="366"/>
      <c r="H52" s="366"/>
      <c r="I52" s="366"/>
      <c r="J52" s="368"/>
    </row>
    <row r="53" spans="1:11" ht="12.75" customHeight="1" x14ac:dyDescent="0.2">
      <c r="A53" s="362" t="s">
        <v>134</v>
      </c>
      <c r="B53" s="369"/>
      <c r="C53" s="370" t="s">
        <v>79</v>
      </c>
      <c r="D53" s="370" t="s">
        <v>82</v>
      </c>
      <c r="E53" s="378" t="s">
        <v>157</v>
      </c>
      <c r="F53" s="380" t="s">
        <v>135</v>
      </c>
      <c r="G53" s="380" t="s">
        <v>149</v>
      </c>
      <c r="H53" s="378" t="s">
        <v>152</v>
      </c>
      <c r="I53" s="378" t="s">
        <v>36</v>
      </c>
      <c r="J53" s="379"/>
    </row>
    <row r="54" spans="1:11" x14ac:dyDescent="0.2">
      <c r="A54" s="102" t="s">
        <v>80</v>
      </c>
      <c r="B54" s="20" t="s">
        <v>85</v>
      </c>
      <c r="C54" s="370"/>
      <c r="D54" s="370"/>
      <c r="E54" s="380"/>
      <c r="F54" s="370"/>
      <c r="G54" s="380"/>
      <c r="H54" s="380"/>
      <c r="I54" s="380"/>
      <c r="J54" s="379"/>
    </row>
    <row r="55" spans="1:11" ht="13.5" thickBot="1" x14ac:dyDescent="0.25">
      <c r="A55" s="109">
        <v>0</v>
      </c>
      <c r="B55" s="110">
        <v>0</v>
      </c>
      <c r="C55" s="22">
        <f>B55*A55</f>
        <v>0</v>
      </c>
      <c r="D55" s="112">
        <v>100</v>
      </c>
      <c r="E55" s="22">
        <f>D55/400</f>
        <v>0.25</v>
      </c>
      <c r="F55" s="111">
        <v>0.96</v>
      </c>
      <c r="G55" s="113">
        <v>7.8</v>
      </c>
      <c r="H55" s="114">
        <v>0</v>
      </c>
      <c r="I55" s="381">
        <f>((A55*B55*10000)*E55*F55*G55)+H55</f>
        <v>0</v>
      </c>
      <c r="J55" s="382"/>
    </row>
    <row r="57" spans="1:11" x14ac:dyDescent="0.2">
      <c r="A57" s="108" t="s">
        <v>148</v>
      </c>
      <c r="B57" s="101"/>
      <c r="C57" s="101"/>
      <c r="D57" s="101"/>
      <c r="E57" s="101"/>
      <c r="F57" s="101"/>
      <c r="G57" s="101"/>
      <c r="H57" s="101"/>
    </row>
    <row r="58" spans="1:11" x14ac:dyDescent="0.2">
      <c r="A58" s="376" t="s">
        <v>153</v>
      </c>
      <c r="B58" s="377"/>
      <c r="C58" s="377"/>
      <c r="D58" s="377"/>
      <c r="E58" s="377"/>
      <c r="F58" s="377"/>
      <c r="G58" s="377"/>
      <c r="H58" s="377"/>
      <c r="I58" s="377"/>
      <c r="J58" s="377"/>
      <c r="K58" s="377"/>
    </row>
    <row r="59" spans="1:11" x14ac:dyDescent="0.2">
      <c r="A59" s="376"/>
      <c r="B59" s="377"/>
      <c r="C59" s="377"/>
      <c r="D59" s="377"/>
      <c r="E59" s="377"/>
      <c r="F59" s="377"/>
      <c r="G59" s="377"/>
      <c r="H59" s="377"/>
      <c r="I59" s="377"/>
      <c r="J59" s="377"/>
      <c r="K59" s="377"/>
    </row>
  </sheetData>
  <mergeCells count="113">
    <mergeCell ref="A53:B53"/>
    <mergeCell ref="C53:C54"/>
    <mergeCell ref="D53:D54"/>
    <mergeCell ref="E53:E54"/>
    <mergeCell ref="F53:F54"/>
    <mergeCell ref="G53:G54"/>
    <mergeCell ref="H53:H54"/>
    <mergeCell ref="A47:J47"/>
    <mergeCell ref="A48:B48"/>
    <mergeCell ref="C48:C49"/>
    <mergeCell ref="D48:D49"/>
    <mergeCell ref="E48:E49"/>
    <mergeCell ref="F48:F49"/>
    <mergeCell ref="G48:G49"/>
    <mergeCell ref="H48:H49"/>
    <mergeCell ref="A52:J52"/>
    <mergeCell ref="I48:J49"/>
    <mergeCell ref="I50:J50"/>
    <mergeCell ref="A42:J42"/>
    <mergeCell ref="A43:B43"/>
    <mergeCell ref="C43:C44"/>
    <mergeCell ref="D43:D44"/>
    <mergeCell ref="E43:E44"/>
    <mergeCell ref="F43:F44"/>
    <mergeCell ref="G43:G44"/>
    <mergeCell ref="H43:H44"/>
    <mergeCell ref="I43:I44"/>
    <mergeCell ref="J43:J44"/>
    <mergeCell ref="A37:J37"/>
    <mergeCell ref="A38:B38"/>
    <mergeCell ref="C38:C39"/>
    <mergeCell ref="D38:D39"/>
    <mergeCell ref="E38:E39"/>
    <mergeCell ref="F38:F39"/>
    <mergeCell ref="G38:G39"/>
    <mergeCell ref="H38:H39"/>
    <mergeCell ref="I38:I39"/>
    <mergeCell ref="J38:J39"/>
    <mergeCell ref="A17:J17"/>
    <mergeCell ref="A18:B18"/>
    <mergeCell ref="C18:C19"/>
    <mergeCell ref="D18:D19"/>
    <mergeCell ref="E18:E19"/>
    <mergeCell ref="F18:F19"/>
    <mergeCell ref="G18:G19"/>
    <mergeCell ref="H18:H19"/>
    <mergeCell ref="I18:I19"/>
    <mergeCell ref="J18:J19"/>
    <mergeCell ref="A3:J3"/>
    <mergeCell ref="D4:D5"/>
    <mergeCell ref="F4:F5"/>
    <mergeCell ref="G4:G5"/>
    <mergeCell ref="J4:J5"/>
    <mergeCell ref="C4:C5"/>
    <mergeCell ref="H4:H5"/>
    <mergeCell ref="E4:E5"/>
    <mergeCell ref="I4:I5"/>
    <mergeCell ref="A4:B4"/>
    <mergeCell ref="J33:J34"/>
    <mergeCell ref="A22:J22"/>
    <mergeCell ref="A23:B23"/>
    <mergeCell ref="C23:C24"/>
    <mergeCell ref="D23:D24"/>
    <mergeCell ref="F23:F24"/>
    <mergeCell ref="G23:G24"/>
    <mergeCell ref="H23:H24"/>
    <mergeCell ref="J23:J24"/>
    <mergeCell ref="E23:E24"/>
    <mergeCell ref="A27:J27"/>
    <mergeCell ref="I23:I24"/>
    <mergeCell ref="A28:B28"/>
    <mergeCell ref="C28:C29"/>
    <mergeCell ref="D28:D29"/>
    <mergeCell ref="F28:F29"/>
    <mergeCell ref="G28:G29"/>
    <mergeCell ref="H28:H29"/>
    <mergeCell ref="J28:J29"/>
    <mergeCell ref="E28:E29"/>
    <mergeCell ref="I28:I29"/>
    <mergeCell ref="A1:J1"/>
    <mergeCell ref="A58:K58"/>
    <mergeCell ref="A59:K59"/>
    <mergeCell ref="I53:J54"/>
    <mergeCell ref="I55:J55"/>
    <mergeCell ref="A8:J8"/>
    <mergeCell ref="A9:B9"/>
    <mergeCell ref="C9:C10"/>
    <mergeCell ref="D9:D10"/>
    <mergeCell ref="E9:E10"/>
    <mergeCell ref="F9:F10"/>
    <mergeCell ref="G9:G10"/>
    <mergeCell ref="H9:H10"/>
    <mergeCell ref="I9:I10"/>
    <mergeCell ref="J9:J10"/>
    <mergeCell ref="A32:J32"/>
    <mergeCell ref="A33:B33"/>
    <mergeCell ref="C33:C34"/>
    <mergeCell ref="D33:D34"/>
    <mergeCell ref="E33:E34"/>
    <mergeCell ref="F33:F34"/>
    <mergeCell ref="G33:G34"/>
    <mergeCell ref="H33:H34"/>
    <mergeCell ref="I33:I34"/>
    <mergeCell ref="A13:J13"/>
    <mergeCell ref="A14:B14"/>
    <mergeCell ref="C14:C15"/>
    <mergeCell ref="D14:D15"/>
    <mergeCell ref="E14:E15"/>
    <mergeCell ref="F14:F15"/>
    <mergeCell ref="G14:G15"/>
    <mergeCell ref="H14:H15"/>
    <mergeCell ref="I14:I15"/>
    <mergeCell ref="J14:J15"/>
  </mergeCells>
  <phoneticPr fontId="9" type="noConversion"/>
  <pageMargins left="0.39370078740157483" right="0.39370078740157483" top="0.39370078740157483" bottom="0.98425196850393704" header="0" footer="0"/>
  <pageSetup orientation="portrait" horizontalDpi="4294967293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>
      <selection activeCell="G25" sqref="G25"/>
    </sheetView>
  </sheetViews>
  <sheetFormatPr baseColWidth="10" defaultRowHeight="12.75" x14ac:dyDescent="0.2"/>
  <cols>
    <col min="1" max="3" width="16.5703125" customWidth="1"/>
    <col min="4" max="4" width="9.140625" bestFit="1" customWidth="1"/>
    <col min="5" max="5" width="25.5703125" customWidth="1"/>
    <col min="6" max="6" width="6.5703125" bestFit="1" customWidth="1"/>
    <col min="7" max="8" width="30.5703125" customWidth="1"/>
  </cols>
  <sheetData>
    <row r="1" spans="1:8" ht="20.100000000000001" customHeight="1" x14ac:dyDescent="0.2">
      <c r="A1" s="390" t="s">
        <v>159</v>
      </c>
      <c r="B1" s="390"/>
      <c r="C1" s="390"/>
      <c r="D1" s="122" t="s">
        <v>130</v>
      </c>
      <c r="E1" s="122" t="s">
        <v>161</v>
      </c>
      <c r="F1" s="122" t="s">
        <v>81</v>
      </c>
      <c r="G1" s="122" t="s">
        <v>162</v>
      </c>
      <c r="H1" s="122" t="s">
        <v>163</v>
      </c>
    </row>
    <row r="2" spans="1:8" ht="20.100000000000001" customHeight="1" x14ac:dyDescent="0.2">
      <c r="A2" s="391"/>
      <c r="B2" s="391"/>
      <c r="C2" s="391"/>
      <c r="D2" s="124">
        <v>1</v>
      </c>
      <c r="E2" s="107">
        <v>0</v>
      </c>
      <c r="F2" s="125">
        <v>1.3</v>
      </c>
      <c r="G2" s="121">
        <f>(F2*E2)/$E$9</f>
        <v>0</v>
      </c>
      <c r="H2" s="168">
        <f>G2*D2</f>
        <v>0</v>
      </c>
    </row>
    <row r="3" spans="1:8" ht="20.100000000000001" customHeight="1" x14ac:dyDescent="0.2">
      <c r="A3" s="391"/>
      <c r="B3" s="391"/>
      <c r="C3" s="391"/>
      <c r="D3" s="124">
        <v>1</v>
      </c>
      <c r="E3" s="107">
        <v>0</v>
      </c>
      <c r="F3" s="125">
        <v>1.3</v>
      </c>
      <c r="G3" s="121">
        <f t="shared" ref="G3:G8" si="0">(F3*E3)/$E$9</f>
        <v>0</v>
      </c>
      <c r="H3" s="168">
        <f t="shared" ref="H3:H8" si="1">G3*D3</f>
        <v>0</v>
      </c>
    </row>
    <row r="4" spans="1:8" ht="20.100000000000001" customHeight="1" x14ac:dyDescent="0.2">
      <c r="A4" s="391"/>
      <c r="B4" s="391"/>
      <c r="C4" s="391"/>
      <c r="D4" s="124">
        <v>1</v>
      </c>
      <c r="E4" s="107">
        <v>0</v>
      </c>
      <c r="F4" s="125">
        <v>1.3</v>
      </c>
      <c r="G4" s="121">
        <f t="shared" si="0"/>
        <v>0</v>
      </c>
      <c r="H4" s="168">
        <f t="shared" si="1"/>
        <v>0</v>
      </c>
    </row>
    <row r="5" spans="1:8" ht="20.100000000000001" customHeight="1" x14ac:dyDescent="0.2">
      <c r="A5" s="391"/>
      <c r="B5" s="391"/>
      <c r="C5" s="391"/>
      <c r="D5" s="124">
        <v>1</v>
      </c>
      <c r="E5" s="107">
        <v>0</v>
      </c>
      <c r="F5" s="125">
        <v>1.3</v>
      </c>
      <c r="G5" s="121">
        <f t="shared" ref="G5:G7" si="2">(F5*E5)/$E$9</f>
        <v>0</v>
      </c>
      <c r="H5" s="168">
        <f t="shared" si="1"/>
        <v>0</v>
      </c>
    </row>
    <row r="6" spans="1:8" ht="20.100000000000001" customHeight="1" x14ac:dyDescent="0.2">
      <c r="A6" s="391"/>
      <c r="B6" s="391"/>
      <c r="C6" s="391"/>
      <c r="D6" s="124">
        <v>1</v>
      </c>
      <c r="E6" s="107">
        <v>0</v>
      </c>
      <c r="F6" s="125">
        <v>1.3</v>
      </c>
      <c r="G6" s="121">
        <f t="shared" si="2"/>
        <v>0</v>
      </c>
      <c r="H6" s="168">
        <f t="shared" si="1"/>
        <v>0</v>
      </c>
    </row>
    <row r="7" spans="1:8" ht="20.100000000000001" customHeight="1" x14ac:dyDescent="0.2">
      <c r="A7" s="391"/>
      <c r="B7" s="391"/>
      <c r="C7" s="391"/>
      <c r="D7" s="124">
        <v>1</v>
      </c>
      <c r="E7" s="107">
        <v>0</v>
      </c>
      <c r="F7" s="125">
        <v>1.3</v>
      </c>
      <c r="G7" s="121">
        <f t="shared" si="2"/>
        <v>0</v>
      </c>
      <c r="H7" s="168">
        <f t="shared" si="1"/>
        <v>0</v>
      </c>
    </row>
    <row r="8" spans="1:8" ht="20.100000000000001" customHeight="1" x14ac:dyDescent="0.2">
      <c r="A8" s="391"/>
      <c r="B8" s="391"/>
      <c r="C8" s="391"/>
      <c r="D8" s="124">
        <v>1</v>
      </c>
      <c r="E8" s="107">
        <v>0</v>
      </c>
      <c r="F8" s="125">
        <v>1.3</v>
      </c>
      <c r="G8" s="121">
        <f t="shared" si="0"/>
        <v>0</v>
      </c>
      <c r="H8" s="168">
        <f t="shared" si="1"/>
        <v>0</v>
      </c>
    </row>
    <row r="9" spans="1:8" ht="20.100000000000001" customHeight="1" x14ac:dyDescent="0.2">
      <c r="A9" s="395" t="s">
        <v>168</v>
      </c>
      <c r="B9" s="396"/>
      <c r="C9" s="397"/>
      <c r="D9" s="120" t="s">
        <v>160</v>
      </c>
      <c r="E9" s="123">
        <v>3700</v>
      </c>
      <c r="F9" s="392" t="s">
        <v>164</v>
      </c>
      <c r="G9" s="392"/>
      <c r="H9" s="169">
        <f>SUM(H2:H8)</f>
        <v>0</v>
      </c>
    </row>
    <row r="10" spans="1:8" ht="20.100000000000001" customHeight="1" x14ac:dyDescent="0.2">
      <c r="A10" s="393" t="s">
        <v>167</v>
      </c>
      <c r="B10" s="394"/>
      <c r="C10" s="394"/>
      <c r="D10" s="394"/>
      <c r="E10" s="394"/>
      <c r="F10" s="119">
        <v>0</v>
      </c>
      <c r="G10" s="118" t="s">
        <v>144</v>
      </c>
      <c r="H10" s="168">
        <f>(H9*F10)+H9</f>
        <v>0</v>
      </c>
    </row>
    <row r="11" spans="1:8" ht="20.100000000000001" customHeight="1" x14ac:dyDescent="0.2">
      <c r="A11" s="394"/>
      <c r="B11" s="394"/>
      <c r="C11" s="394"/>
      <c r="D11" s="394"/>
      <c r="E11" s="394"/>
      <c r="F11" s="119">
        <v>0.03</v>
      </c>
      <c r="G11" s="118" t="s">
        <v>165</v>
      </c>
      <c r="H11" s="168">
        <f t="shared" ref="H11:H12" si="3">(H10*F11)+H10</f>
        <v>0</v>
      </c>
    </row>
    <row r="12" spans="1:8" ht="20.100000000000001" customHeight="1" x14ac:dyDescent="0.2">
      <c r="A12" s="394"/>
      <c r="B12" s="394"/>
      <c r="C12" s="394"/>
      <c r="D12" s="394"/>
      <c r="E12" s="394"/>
      <c r="F12" s="119">
        <v>0.06</v>
      </c>
      <c r="G12" s="118" t="s">
        <v>166</v>
      </c>
      <c r="H12" s="168">
        <f t="shared" si="3"/>
        <v>0</v>
      </c>
    </row>
    <row r="14" spans="1:8" x14ac:dyDescent="0.2">
      <c r="A14" s="116" t="s">
        <v>154</v>
      </c>
    </row>
    <row r="15" spans="1:8" x14ac:dyDescent="0.2">
      <c r="A15" s="116" t="s">
        <v>156</v>
      </c>
    </row>
    <row r="16" spans="1:8" x14ac:dyDescent="0.2">
      <c r="A16" s="116" t="s">
        <v>158</v>
      </c>
    </row>
    <row r="17" spans="1:1" x14ac:dyDescent="0.2">
      <c r="A17" s="116" t="s">
        <v>202</v>
      </c>
    </row>
  </sheetData>
  <mergeCells count="11">
    <mergeCell ref="F9:G9"/>
    <mergeCell ref="A5:C5"/>
    <mergeCell ref="A6:C6"/>
    <mergeCell ref="A7:C7"/>
    <mergeCell ref="A10:E12"/>
    <mergeCell ref="A9:C9"/>
    <mergeCell ref="A1:C1"/>
    <mergeCell ref="A2:C2"/>
    <mergeCell ref="A3:C3"/>
    <mergeCell ref="A4:C4"/>
    <mergeCell ref="A8:C8"/>
  </mergeCells>
  <hyperlinks>
    <hyperlink ref="A15" r:id="rId1" xr:uid="{00000000-0004-0000-0600-000000000000}"/>
    <hyperlink ref="A14" r:id="rId2" xr:uid="{00000000-0004-0000-0600-000001000000}"/>
    <hyperlink ref="A16" r:id="rId3" xr:uid="{545F6552-BF89-41E2-B5F4-ED7F602A0E42}"/>
    <hyperlink ref="A17" r:id="rId4" xr:uid="{B5597D8D-4E1F-4FDF-BBA2-DAC78DDE7F4C}"/>
  </hyperlinks>
  <pageMargins left="0.7" right="0.7" top="0.75" bottom="0.75" header="0.3" footer="0.3"/>
  <pageSetup paperSize="9" orientation="portrait" r:id="rId5"/>
  <legacy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C666-9230-4F5F-B539-AF0AF46A6CB7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Shipping Details</vt:lpstr>
      <vt:lpstr>QUOT01 A-V1</vt:lpstr>
      <vt:lpstr>QUOT02 A-V1</vt:lpstr>
      <vt:lpstr>COT01 A-V1</vt:lpstr>
      <vt:lpstr>COT02 A-V1</vt:lpstr>
      <vt:lpstr>EXP 17000-A-V1</vt:lpstr>
      <vt:lpstr>NAL 17000-A-V1</vt:lpstr>
      <vt:lpstr>ADMIN</vt:lpstr>
      <vt:lpstr>Metales</vt:lpstr>
      <vt:lpstr>Alambron</vt:lpstr>
      <vt:lpstr>Plasticos</vt:lpstr>
      <vt:lpstr>Envios, Bodegages, Montajes</vt:lpstr>
      <vt:lpstr>Hoja1</vt:lpstr>
    </vt:vector>
  </TitlesOfParts>
  <Company>GRUPO DIFORMA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AK16565</cp:lastModifiedBy>
  <cp:lastPrinted>2010-01-22T16:10:34Z</cp:lastPrinted>
  <dcterms:created xsi:type="dcterms:W3CDTF">2004-05-28T17:46:48Z</dcterms:created>
  <dcterms:modified xsi:type="dcterms:W3CDTF">2026-09-24T22:01:17Z</dcterms:modified>
</cp:coreProperties>
</file>